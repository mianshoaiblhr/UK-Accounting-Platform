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Journals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V4-M2 golden workings: the profit of a synthetic CT period adjusted for tax (DEC-099)</t>
        </is>
      </c>
    </row>
    <row r="2">
      <c r="A2" s="2" t="inlineStr"/>
    </row>
    <row r="3">
      <c r="A3" s="2" t="inlineStr">
        <is>
          <t>V4-M2 (DEC-099) golden: one synthetic 12-month CT period. Each journal's other side is the directors' loan account (2230); the rules and manual adjustments are synthetic test fixtures, not tax advice. Worked by hand in docs/architecture/v4-m2-golden-workings.xlsx.</t>
        </is>
      </c>
    </row>
    <row r="4">
      <c r="A4" s="2" t="inlineStr">
        <is>
          <t>CT period: 2027-01-01 to 2027-12-31.</t>
        </is>
      </c>
    </row>
    <row r="5">
      <c r="A5" s="2" t="inlineStr">
        <is>
          <t>Accounting profit = the net credit of income and expense accounts in the period, leaving out the tax charge (7100) and journals outside the period.</t>
        </is>
      </c>
    </row>
    <row r="6">
      <c r="A6" s="2" t="inlineStr">
        <is>
          <t>A rule adds back (debits - credits) x percentage of its account for the journals inside both the period and the rule's dates; a credit result is deducted.</t>
        </is>
      </c>
    </row>
    <row r="7">
      <c r="A7" s="2" t="inlineStr">
        <is>
          <t>Manual adjustments count unless withdrawn. Green cells are the golden the API test asserts.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Account</t>
        </is>
      </c>
      <c r="D1" s="3" t="inlineStr">
        <is>
          <t>Kind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In period</t>
        </is>
      </c>
      <c r="H1" s="3" t="inlineStr">
        <is>
          <t>Net credit to profit</t>
        </is>
      </c>
    </row>
    <row r="2">
      <c r="A2" s="4" t="n">
        <v>46387</v>
      </c>
      <c r="B2" t="inlineStr">
        <is>
          <t>Sundry cost before the period</t>
        </is>
      </c>
      <c r="C2" t="inlineStr">
        <is>
          <t>8000</t>
        </is>
      </c>
      <c r="D2" t="inlineStr">
        <is>
          <t>EXPENSE</t>
        </is>
      </c>
      <c r="E2" t="n">
        <v>100</v>
      </c>
      <c r="F2" t="n">
        <v>0</v>
      </c>
      <c r="G2">
        <f>AND(A2&gt;=DATE(2027,1,1),A2&lt;=DATE(2027,12,31))</f>
        <v/>
      </c>
      <c r="H2">
        <f>IF(AND(G2,D2&lt;&gt;"TAX"),F2-E2,0)</f>
        <v/>
      </c>
    </row>
    <row r="3">
      <c r="A3" s="4" t="n">
        <v>46419</v>
      </c>
      <c r="B3" t="inlineStr">
        <is>
          <t>Professional fees before the rule's start</t>
        </is>
      </c>
      <c r="C3" t="inlineStr">
        <is>
          <t>6600</t>
        </is>
      </c>
      <c r="D3" t="inlineStr">
        <is>
          <t>EXPENSE</t>
        </is>
      </c>
      <c r="E3" t="n">
        <v>1000</v>
      </c>
      <c r="F3" t="n">
        <v>0</v>
      </c>
      <c r="G3">
        <f>AND(A3&gt;=DATE(2027,1,1),A3&lt;=DATE(2027,12,31))</f>
        <v/>
      </c>
      <c r="H3">
        <f>IF(AND(G3,D3&lt;&gt;"TAX"),F3-E3,0)</f>
        <v/>
      </c>
    </row>
    <row r="4">
      <c r="A4" s="4" t="n">
        <v>46477</v>
      </c>
      <c r="B4" t="inlineStr">
        <is>
          <t>Sales</t>
        </is>
      </c>
      <c r="C4" t="inlineStr">
        <is>
          <t>4000</t>
        </is>
      </c>
      <c r="D4" t="inlineStr">
        <is>
          <t>INCOME</t>
        </is>
      </c>
      <c r="E4" t="n">
        <v>0</v>
      </c>
      <c r="F4" t="n">
        <v>50000</v>
      </c>
      <c r="G4">
        <f>AND(A4&gt;=DATE(2027,1,1),A4&lt;=DATE(2027,12,31))</f>
        <v/>
      </c>
      <c r="H4">
        <f>IF(AND(G4,D4&lt;&gt;"TAX"),F4-E4,0)</f>
        <v/>
      </c>
    </row>
    <row r="5">
      <c r="A5" s="4" t="n">
        <v>46492</v>
      </c>
      <c r="B5" t="inlineStr">
        <is>
          <t>Client entertaining</t>
        </is>
      </c>
      <c r="C5" t="inlineStr">
        <is>
          <t>8000</t>
        </is>
      </c>
      <c r="D5" t="inlineStr">
        <is>
          <t>EXPENSE</t>
        </is>
      </c>
      <c r="E5" t="n">
        <v>1234.57</v>
      </c>
      <c r="F5" t="n">
        <v>0</v>
      </c>
      <c r="G5">
        <f>AND(A5&gt;=DATE(2027,1,1),A5&lt;=DATE(2027,12,31))</f>
        <v/>
      </c>
      <c r="H5">
        <f>IF(AND(G5,D5&lt;&gt;"TAX"),F5-E5,0)</f>
        <v/>
      </c>
    </row>
    <row r="6">
      <c r="A6" s="4" t="n">
        <v>46568</v>
      </c>
      <c r="B6" t="inlineStr">
        <is>
          <t>A grant treated as not taxable</t>
        </is>
      </c>
      <c r="C6" t="inlineStr">
        <is>
          <t>4100</t>
        </is>
      </c>
      <c r="D6" t="inlineStr">
        <is>
          <t>INCOME</t>
        </is>
      </c>
      <c r="E6" t="n">
        <v>0</v>
      </c>
      <c r="F6" t="n">
        <v>800</v>
      </c>
      <c r="G6">
        <f>AND(A6&gt;=DATE(2027,1,1),A6&lt;=DATE(2027,12,31))</f>
        <v/>
      </c>
      <c r="H6">
        <f>IF(AND(G6,D6&lt;&gt;"TAX"),F6-E6,0)</f>
        <v/>
      </c>
    </row>
    <row r="7">
      <c r="A7" s="4" t="n">
        <v>46660</v>
      </c>
      <c r="B7" t="inlineStr">
        <is>
          <t>Professional fees, part capital</t>
        </is>
      </c>
      <c r="C7" t="inlineStr">
        <is>
          <t>6600</t>
        </is>
      </c>
      <c r="D7" t="inlineStr">
        <is>
          <t>EXPENSE</t>
        </is>
      </c>
      <c r="E7" t="n">
        <v>2000</v>
      </c>
      <c r="F7" t="n">
        <v>0</v>
      </c>
      <c r="G7">
        <f>AND(A7&gt;=DATE(2027,1,1),A7&lt;=DATE(2027,12,31))</f>
        <v/>
      </c>
      <c r="H7">
        <f>IF(AND(G7,D7&lt;&gt;"TAX"),F7-E7,0)</f>
        <v/>
      </c>
    </row>
    <row r="8">
      <c r="A8" s="4" t="n">
        <v>46721</v>
      </c>
      <c r="B8" t="inlineStr">
        <is>
          <t>Wages</t>
        </is>
      </c>
      <c r="C8" t="inlineStr">
        <is>
          <t>6000</t>
        </is>
      </c>
      <c r="D8" t="inlineStr">
        <is>
          <t>EXPENSE</t>
        </is>
      </c>
      <c r="E8" t="n">
        <v>20000</v>
      </c>
      <c r="F8" t="n">
        <v>0</v>
      </c>
      <c r="G8">
        <f>AND(A8&gt;=DATE(2027,1,1),A8&lt;=DATE(2027,12,31))</f>
        <v/>
      </c>
      <c r="H8">
        <f>IF(AND(G8,D8&lt;&gt;"TAX"),F8-E8,0)</f>
        <v/>
      </c>
    </row>
    <row r="9">
      <c r="A9" s="4" t="n">
        <v>46752</v>
      </c>
      <c r="B9" t="inlineStr">
        <is>
          <t>Depreciation</t>
        </is>
      </c>
      <c r="C9" t="inlineStr">
        <is>
          <t>6900</t>
        </is>
      </c>
      <c r="D9" t="inlineStr">
        <is>
          <t>EXPENSE</t>
        </is>
      </c>
      <c r="E9" t="n">
        <v>3000</v>
      </c>
      <c r="F9" t="n">
        <v>0</v>
      </c>
      <c r="G9">
        <f>AND(A9&gt;=DATE(2027,1,1),A9&lt;=DATE(2027,12,31))</f>
        <v/>
      </c>
      <c r="H9">
        <f>IF(AND(G9,D9&lt;&gt;"TAX"),F9-E9,0)</f>
        <v/>
      </c>
    </row>
    <row r="10">
      <c r="A10" s="4" t="n">
        <v>46752</v>
      </c>
      <c r="B10" t="inlineStr">
        <is>
          <t>Corporation tax charge</t>
        </is>
      </c>
      <c r="C10" t="inlineStr">
        <is>
          <t>7100</t>
        </is>
      </c>
      <c r="D10" t="inlineStr">
        <is>
          <t>TAX</t>
        </is>
      </c>
      <c r="E10" t="n">
        <v>9000</v>
      </c>
      <c r="F10" t="n">
        <v>0</v>
      </c>
      <c r="G10">
        <f>AND(A10&gt;=DATE(2027,1,1),A10&lt;=DATE(2027,12,31))</f>
        <v/>
      </c>
      <c r="H10">
        <f>IF(AND(G10,D10&lt;&gt;"TAX"),F10-E10,0)</f>
        <v/>
      </c>
    </row>
    <row r="11">
      <c r="G11" s="1" t="inlineStr">
        <is>
          <t>Accounting profit</t>
        </is>
      </c>
      <c r="H11" s="1">
        <f>ROUND(SUM(H2:H10),2)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1" customWidth="1" min="4" max="4"/>
    <col width="12" customWidth="1" min="5" max="5"/>
    <col width="15" customWidth="1" min="6" max="6"/>
    <col width="15" customWidth="1" min="7" max="7"/>
    <col width="22" customWidth="1" min="8" max="8"/>
    <col width="12" customWidth="1" min="9" max="9"/>
    <col width="10" customWidth="1" min="10" max="10"/>
  </cols>
  <sheetData>
    <row r="1">
      <c r="A1" s="3" t="inlineStr">
        <is>
          <t>Source</t>
        </is>
      </c>
      <c r="B1" s="3" t="inlineStr">
        <is>
          <t>Account</t>
        </is>
      </c>
      <c r="C1" s="3" t="inlineStr">
        <is>
          <t>Category</t>
        </is>
      </c>
      <c r="D1" s="3" t="inlineStr">
        <is>
          <t>Percentage</t>
        </is>
      </c>
      <c r="E1" s="3" t="inlineStr">
        <is>
          <t>From</t>
        </is>
      </c>
      <c r="F1" s="3" t="inlineStr">
        <is>
          <t>Debits in range</t>
        </is>
      </c>
      <c r="G1" s="3" t="inlineStr">
        <is>
          <t>Credits in range</t>
        </is>
      </c>
      <c r="H1" s="3" t="inlineStr">
        <is>
          <t>Adjustment (+ add, - deduct)</t>
        </is>
      </c>
      <c r="I1" s="3" t="inlineStr">
        <is>
          <t>Expected</t>
        </is>
      </c>
      <c r="J1" s="3" t="inlineStr">
        <is>
          <t>Direction</t>
        </is>
      </c>
    </row>
    <row r="2">
      <c r="A2" t="inlineStr">
        <is>
          <t>RULE</t>
        </is>
      </c>
      <c r="B2" t="inlineStr">
        <is>
          <t>8000</t>
        </is>
      </c>
      <c r="C2" t="inlineStr">
        <is>
          <t>ENTERTAINING</t>
        </is>
      </c>
      <c r="D2" t="n">
        <v>100</v>
      </c>
      <c r="E2" s="4" t="n">
        <v>46388</v>
      </c>
      <c r="F2">
        <f>SUMIFS(Journals!$E$2:$E$10,Journals!$C$2:$C$10,"8000",Journals!$A$2:$A$10,"&gt;="&amp;E2,Journals!$A$2:$A$10,"&lt;="&amp;DATE(2027,12,31))</f>
        <v/>
      </c>
      <c r="G2">
        <f>SUMIFS(Journals!$F$2:$F$10,Journals!$C$2:$C$10,"8000",Journals!$A$2:$A$10,"&gt;="&amp;E2,Journals!$A$2:$A$10,"&lt;="&amp;DATE(2027,12,31))</f>
        <v/>
      </c>
      <c r="H2">
        <f>ROUND((F2-G2)*D2/100,2)</f>
        <v/>
      </c>
      <c r="I2" s="5" t="n">
        <v>1234.57</v>
      </c>
      <c r="J2" t="inlineStr">
        <is>
          <t>ADD</t>
        </is>
      </c>
    </row>
    <row r="3">
      <c r="A3" t="inlineStr">
        <is>
          <t>RULE</t>
        </is>
      </c>
      <c r="B3" t="inlineStr">
        <is>
          <t>6900</t>
        </is>
      </c>
      <c r="C3" t="inlineStr">
        <is>
          <t>DEPRECIATION</t>
        </is>
      </c>
      <c r="D3" t="n">
        <v>100</v>
      </c>
      <c r="E3" s="4" t="n">
        <v>46388</v>
      </c>
      <c r="F3">
        <f>SUMIFS(Journals!$E$2:$E$10,Journals!$C$2:$C$10,"6900",Journals!$A$2:$A$10,"&gt;="&amp;E3,Journals!$A$2:$A$10,"&lt;="&amp;DATE(2027,12,31))</f>
        <v/>
      </c>
      <c r="G3">
        <f>SUMIFS(Journals!$F$2:$F$10,Journals!$C$2:$C$10,"6900",Journals!$A$2:$A$10,"&gt;="&amp;E3,Journals!$A$2:$A$10,"&lt;="&amp;DATE(2027,12,31))</f>
        <v/>
      </c>
      <c r="H3">
        <f>ROUND((F3-G3)*D3/100,2)</f>
        <v/>
      </c>
      <c r="I3" s="5" t="n">
        <v>3000</v>
      </c>
      <c r="J3" t="inlineStr">
        <is>
          <t>ADD</t>
        </is>
      </c>
    </row>
    <row r="4">
      <c r="A4" t="inlineStr">
        <is>
          <t>RULE</t>
        </is>
      </c>
      <c r="B4" t="inlineStr">
        <is>
          <t>4100</t>
        </is>
      </c>
      <c r="C4" t="inlineStr">
        <is>
          <t>NON_TAXABLE_INCOME</t>
        </is>
      </c>
      <c r="D4" t="n">
        <v>100</v>
      </c>
      <c r="E4" s="4" t="n">
        <v>46388</v>
      </c>
      <c r="F4">
        <f>SUMIFS(Journals!$E$2:$E$10,Journals!$C$2:$C$10,"4100",Journals!$A$2:$A$10,"&gt;="&amp;E4,Journals!$A$2:$A$10,"&lt;="&amp;DATE(2027,12,31))</f>
        <v/>
      </c>
      <c r="G4">
        <f>SUMIFS(Journals!$F$2:$F$10,Journals!$C$2:$C$10,"4100",Journals!$A$2:$A$10,"&gt;="&amp;E4,Journals!$A$2:$A$10,"&lt;="&amp;DATE(2027,12,31))</f>
        <v/>
      </c>
      <c r="H4">
        <f>ROUND((F4-G4)*D4/100,2)</f>
        <v/>
      </c>
      <c r="I4" s="5" t="n">
        <v>-800</v>
      </c>
      <c r="J4" t="inlineStr">
        <is>
          <t>DEDUCT</t>
        </is>
      </c>
    </row>
    <row r="5">
      <c r="A5" t="inlineStr">
        <is>
          <t>RULE</t>
        </is>
      </c>
      <c r="B5" t="inlineStr">
        <is>
          <t>6600</t>
        </is>
      </c>
      <c r="C5" t="inlineStr">
        <is>
          <t>LEGAL_PROFESSIONAL</t>
        </is>
      </c>
      <c r="D5" t="n">
        <v>25</v>
      </c>
      <c r="E5" s="4" t="n">
        <v>46569</v>
      </c>
      <c r="F5">
        <f>SUMIFS(Journals!$E$2:$E$10,Journals!$C$2:$C$10,"6600",Journals!$A$2:$A$10,"&gt;="&amp;E5,Journals!$A$2:$A$10,"&lt;="&amp;DATE(2027,12,31))</f>
        <v/>
      </c>
      <c r="G5">
        <f>SUMIFS(Journals!$F$2:$F$10,Journals!$C$2:$C$10,"6600",Journals!$A$2:$A$10,"&gt;="&amp;E5,Journals!$A$2:$A$10,"&lt;="&amp;DATE(2027,12,31))</f>
        <v/>
      </c>
      <c r="H5">
        <f>ROUND((F5-G5)*D5/100,2)</f>
        <v/>
      </c>
      <c r="I5" s="5" t="n">
        <v>500</v>
      </c>
      <c r="J5" t="inlineStr">
        <is>
          <t>ADD</t>
        </is>
      </c>
    </row>
    <row r="6">
      <c r="A6" t="inlineStr">
        <is>
          <t>MANUAL</t>
        </is>
      </c>
      <c r="C6" t="inlineStr">
        <is>
          <t>OTHER</t>
        </is>
      </c>
      <c r="H6" t="n">
        <v>350</v>
      </c>
      <c r="I6" s="5" t="n">
        <v>350</v>
      </c>
      <c r="J6" t="inlineStr">
        <is>
          <t>ADD</t>
        </is>
      </c>
    </row>
    <row r="7">
      <c r="A7" t="inlineStr">
        <is>
          <t>MANUAL</t>
        </is>
      </c>
      <c r="C7" t="inlineStr">
        <is>
          <t>OTHER</t>
        </is>
      </c>
      <c r="H7" t="n">
        <v>0</v>
      </c>
      <c r="I7" s="5" t="n">
        <v>0</v>
      </c>
      <c r="J7" t="inlineStr">
        <is>
          <t>DEDUCT (withdrawn: not counted)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3" t="inlineStr">
        <is>
          <t>Line</t>
        </is>
      </c>
      <c r="B1" s="3" t="inlineStr">
        <is>
          <t>Workings</t>
        </is>
      </c>
      <c r="C1" s="3" t="inlineStr">
        <is>
          <t>Expected (API)</t>
        </is>
      </c>
    </row>
    <row r="2">
      <c r="A2" t="inlineStr">
        <is>
          <t>Accounting profit</t>
        </is>
      </c>
      <c r="B2" s="6">
        <f>Journals!H11</f>
        <v/>
      </c>
      <c r="C2" s="7" t="n">
        <v>23565.43</v>
      </c>
    </row>
    <row r="3">
      <c r="A3" t="inlineStr">
        <is>
          <t>Total added</t>
        </is>
      </c>
      <c r="B3" s="6">
        <f>SUMIF(Adjustments!H2:H7,"&gt;0")</f>
        <v/>
      </c>
      <c r="C3" s="7" t="n">
        <v>5084.57</v>
      </c>
    </row>
    <row r="4">
      <c r="A4" t="inlineStr">
        <is>
          <t>Total deducted</t>
        </is>
      </c>
      <c r="B4" s="6">
        <f>-SUMIF(Adjustments!H2:H7,"&lt;0")</f>
        <v/>
      </c>
      <c r="C4" s="7" t="n">
        <v>800</v>
      </c>
    </row>
    <row r="5">
      <c r="A5" t="inlineStr">
        <is>
          <t>Adjusted profit (before capital allowances and losses)</t>
        </is>
      </c>
      <c r="B5" s="6">
        <f>B2+B3-B4</f>
        <v/>
      </c>
      <c r="C5" s="7" t="n">
        <v>27850</v>
      </c>
    </row>
    <row r="7">
      <c r="A7" t="inlineStr">
        <is>
          <t>Check: workings equal expected</t>
        </is>
      </c>
      <c r="B7">
        <f>AND(ROUND(B2-C2,2)=0,ROUND(B3-C3,2)=0,ROUND(B4-C4,2)=0,ROUND(B5-C5,2)=0)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2026-10-28T23:00:06Z</dcterms:created>
  <dcterms:modified xmlns:dcterms="http://purl.org/dc/terms/" xmlns:xsi="http://www.w3.org/2001/XMLSchema-instance" xsi:type="dcterms:W3CDTF">2026-10-28T23:00:06Z</dcterms:modified>
</cp:coreProperties>
</file>