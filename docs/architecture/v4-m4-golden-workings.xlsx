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ates" sheetId="2" state="visible" r:id="rId2"/>
    <sheet xmlns:r="http://schemas.openxmlformats.org/officeDocument/2006/relationships" name="A before carry back" sheetId="3" state="visible" r:id="rId3"/>
    <sheet xmlns:r="http://schemas.openxmlformats.org/officeDocument/2006/relationships" name="B loss period" sheetId="4" state="visible" r:id="rId4"/>
    <sheet xmlns:r="http://schemas.openxmlformats.org/officeDocument/2006/relationships" name="A after carry b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E8F1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0" fillId="2" borderId="0" pivotButton="0" quotePrefix="0" xfId="0"/>
    <xf numFmtId="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V4-M4 golden workings: losses, tax by financial year and marginal relief (DEC-101)</t>
        </is>
      </c>
    </row>
    <row r="2">
      <c r="A2" s="2" t="inlineStr"/>
    </row>
    <row r="3">
      <c r="A3" s="2" t="inlineStr">
        <is>
          <t>V4-M4 (DEC-101) golden: a profitable 12-month CT period across two financial years (2027), then a 182-day loss period (January to June 2028) whose loss is carried back to it. The rates and limits (main 25%, small profits 19%, limits £50,000 and £250,000, fraction 3/200) are fixtures entered and verified in the test, not tax advice. Worked by hand in docs/architecture/v4-m4-golden-workings.xlsx.</t>
        </is>
      </c>
    </row>
    <row r="4">
      <c r="A4" s="2" t="inlineStr">
        <is>
          <t>Trading profit = adjusted profit - capital allowances + balancing charges. Taxable total profits = trading profit - losses brought forward used - loss carried back from the next period.</t>
        </is>
      </c>
    </row>
    <row r="5">
      <c r="A5" s="2" t="inlineStr">
        <is>
          <t>Profits are apportioned to financial years by days (first part rounded to the penny, the last part the remainder).</t>
        </is>
      </c>
    </row>
    <row r="6">
      <c r="A6" s="2" t="inlineStr">
        <is>
          <t>Limits per part = annual limit x days of the part / (days of the period if 12 months, else 365) / (1 + associated companies), rounded to the penny.</t>
        </is>
      </c>
    </row>
    <row r="7">
      <c r="A7" s="2" t="inlineStr">
        <is>
          <t>At or under the lower limit: small profits rate; at or over the upper: main rate; between: main rate less fraction x (upper limit - profits).</t>
        </is>
      </c>
    </row>
    <row r="8">
      <c r="A8" s="2" t="inlineStr">
        <is>
          <t>Green cells are the golden the tests assert; each sheet's Check row must be TRUE.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Main rate %</t>
        </is>
      </c>
      <c r="B1" t="n">
        <v>25</v>
      </c>
    </row>
    <row r="2">
      <c r="A2" t="inlineStr">
        <is>
          <t>Small profits rate %</t>
        </is>
      </c>
      <c r="B2" t="n">
        <v>19</v>
      </c>
    </row>
    <row r="3">
      <c r="A3" t="inlineStr">
        <is>
          <t>Lower limit</t>
        </is>
      </c>
      <c r="B3" t="n">
        <v>50000</v>
      </c>
    </row>
    <row r="4">
      <c r="A4" t="inlineStr">
        <is>
          <t>Upper limit</t>
        </is>
      </c>
      <c r="B4" t="n">
        <v>250000</v>
      </c>
    </row>
    <row r="5">
      <c r="A5" t="inlineStr">
        <is>
          <t>Marginal relief fraction</t>
        </is>
      </c>
      <c r="B5" t="n">
        <v>0.015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A before carry back</t>
        </is>
      </c>
    </row>
    <row r="2">
      <c r="A2" t="inlineStr">
        <is>
          <t>Days in the period</t>
        </is>
      </c>
      <c r="B2" t="n">
        <v>365</v>
      </c>
    </row>
    <row r="3">
      <c r="A3" t="inlineStr">
        <is>
          <t>Limits divide by</t>
        </is>
      </c>
      <c r="B3">
        <f>B2</f>
        <v/>
      </c>
    </row>
    <row r="4">
      <c r="A4" t="inlineStr">
        <is>
          <t>Associated companies</t>
        </is>
      </c>
      <c r="B4" t="n">
        <v>0</v>
      </c>
    </row>
    <row r="6">
      <c r="A6" t="inlineStr">
        <is>
          <t>Sales (4000)</t>
        </is>
      </c>
      <c r="B6" s="3" t="n">
        <v>200000</v>
      </c>
    </row>
    <row r="7">
      <c r="A7" t="inlineStr">
        <is>
          <t>Wages (6000)</t>
        </is>
      </c>
      <c r="B7" s="3" t="n">
        <v>-50000</v>
      </c>
    </row>
    <row r="8">
      <c r="A8" t="inlineStr">
        <is>
          <t>Adjusted profit</t>
        </is>
      </c>
      <c r="B8" s="3">
        <f>B6+B7</f>
        <v/>
      </c>
      <c r="C8" s="4" t="n">
        <v>150000</v>
      </c>
    </row>
    <row r="9">
      <c r="A9" t="inlineStr">
        <is>
          <t>Main pool opening</t>
        </is>
      </c>
      <c r="B9" s="3" t="n">
        <v>111111.11</v>
      </c>
    </row>
    <row r="10">
      <c r="A10" t="inlineStr">
        <is>
          <t>Capital allowances (WDA 18%)</t>
        </is>
      </c>
      <c r="B10" s="3">
        <f>ROUND(B9*18/100,2)</f>
        <v/>
      </c>
      <c r="C10" s="4" t="n">
        <v>20000</v>
      </c>
    </row>
    <row r="11">
      <c r="A11" t="inlineStr">
        <is>
          <t>Trading profit</t>
        </is>
      </c>
      <c r="B11" s="3">
        <f>MAX(B8-B10,0)</f>
        <v/>
      </c>
      <c r="C11" s="4" t="n">
        <v>130000</v>
      </c>
    </row>
    <row r="12">
      <c r="A12" t="inlineStr">
        <is>
          <t>Losses brought forward</t>
        </is>
      </c>
      <c r="B12" s="3" t="n">
        <v>10000</v>
      </c>
    </row>
    <row r="13">
      <c r="A13" t="inlineStr">
        <is>
          <t>Losses brought forward used</t>
        </is>
      </c>
      <c r="B13" s="3">
        <f>MIN(B12,B11)</f>
        <v/>
      </c>
      <c r="C13" s="4" t="n">
        <v>10000</v>
      </c>
    </row>
    <row r="14">
      <c r="A14" t="inlineStr">
        <is>
          <t>Loss carried back from B</t>
        </is>
      </c>
      <c r="B14" s="3" t="n">
        <v>0</v>
      </c>
    </row>
    <row r="15">
      <c r="A15" t="inlineStr">
        <is>
          <t>Taxable total profits</t>
        </is>
      </c>
      <c r="B15" s="3">
        <f>B11-B13-B14</f>
        <v/>
      </c>
      <c r="C15" s="4" t="n">
        <v>120000</v>
      </c>
    </row>
    <row r="17">
      <c r="A17" s="1" t="inlineStr">
        <is>
          <t>Financial year</t>
        </is>
      </c>
      <c r="B17" s="1" t="inlineStr">
        <is>
          <t>Days</t>
        </is>
      </c>
      <c r="C17" s="1" t="inlineStr">
        <is>
          <t>Profit</t>
        </is>
      </c>
      <c r="D17" s="1" t="inlineStr">
        <is>
          <t>Lower limit</t>
        </is>
      </c>
      <c r="E17" s="1" t="inlineStr">
        <is>
          <t>Upper limit</t>
        </is>
      </c>
      <c r="F17" s="1" t="inlineStr">
        <is>
          <t>Tax at rate</t>
        </is>
      </c>
      <c r="G17" s="1" t="inlineStr">
        <is>
          <t>Marginal relief</t>
        </is>
      </c>
      <c r="H17" s="1" t="inlineStr">
        <is>
          <t>Tax</t>
        </is>
      </c>
      <c r="I17" s="1" t="inlineStr">
        <is>
          <t>Expected tax</t>
        </is>
      </c>
      <c r="J17" s="1" t="inlineStr">
        <is>
          <t>Expected relief</t>
        </is>
      </c>
    </row>
    <row r="18">
      <c r="A18" t="n">
        <v>2026</v>
      </c>
      <c r="B18" t="n">
        <v>90</v>
      </c>
      <c r="C18" s="3">
        <f>ROUND(B15*B18/$B$2,2)</f>
        <v/>
      </c>
      <c r="D18" s="3">
        <f>ROUND(Rates!$B$3*B18/$B$3/(1+$B$4),2)</f>
        <v/>
      </c>
      <c r="E18" s="3">
        <f>ROUND(Rates!$B$4*B18/$B$3/(1+$B$4),2)</f>
        <v/>
      </c>
      <c r="F18" s="3">
        <f>IF(C18&lt;=D18,ROUND(C18*Rates!$B$2/100,2),ROUND(C18*Rates!$B$1/100,2))</f>
        <v/>
      </c>
      <c r="G18" s="3">
        <f>IF(AND(C18&gt;D18,C18&lt;E18),ROUND(Rates!$B$5*(E18-C18),2),0)</f>
        <v/>
      </c>
      <c r="H18" s="3">
        <f>F18-G18</f>
        <v/>
      </c>
      <c r="I18" s="5" t="n">
        <v>6916.44</v>
      </c>
      <c r="J18" s="5" t="n">
        <v>480.82</v>
      </c>
    </row>
    <row r="19">
      <c r="A19" t="n">
        <v>2027</v>
      </c>
      <c r="B19" t="n">
        <v>275</v>
      </c>
      <c r="C19" s="3">
        <f>B15-SUM(C18:C18)</f>
        <v/>
      </c>
      <c r="D19" s="3">
        <f>ROUND(Rates!$B$3*B19/$B$3/(1+$B$4),2)</f>
        <v/>
      </c>
      <c r="E19" s="3">
        <f>ROUND(Rates!$B$4*B19/$B$3/(1+$B$4),2)</f>
        <v/>
      </c>
      <c r="F19" s="3">
        <f>IF(C19&lt;=D19,ROUND(C19*Rates!$B$2/100,2),ROUND(C19*Rates!$B$1/100,2))</f>
        <v/>
      </c>
      <c r="G19" s="3">
        <f>IF(AND(C19&gt;D19,C19&lt;E19),ROUND(Rates!$B$5*(E19-C19),2),0)</f>
        <v/>
      </c>
      <c r="H19" s="3">
        <f>F19-G19</f>
        <v/>
      </c>
      <c r="I19" s="5" t="n">
        <v>21133.56</v>
      </c>
      <c r="J19" s="5" t="n">
        <v>1469.18</v>
      </c>
    </row>
    <row r="20">
      <c r="A20" s="1" t="inlineStr">
        <is>
          <t>Corporation tax</t>
        </is>
      </c>
      <c r="H20" s="3">
        <f>SUM(H18:H19)</f>
        <v/>
      </c>
      <c r="I20" s="4" t="n">
        <v>28050</v>
      </c>
    </row>
    <row r="22">
      <c r="A22" s="1" t="inlineStr">
        <is>
          <t>Check: workings equal expected</t>
        </is>
      </c>
      <c r="B22">
        <f>AND(ROUND(B8-C8,2)=0,ROUND(B10-C10,2)=0,ROUND(B11-C11,2)=0,ROUND(B13-C13,2)=0,ROUND(B15-C15,2)=0,ROUND(H18-I18,2)=0,ROUND(G18-J18,2)=0,ROUND(C18-29589.04,2)=0,ROUND(H19-I19,2)=0,ROUND(G19-J19,2)=0,ROUND(C19-90410.96,2)=0,ROUND(H20-I20,2)=0)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B loss period</t>
        </is>
      </c>
    </row>
    <row r="2">
      <c r="A2" t="inlineStr">
        <is>
          <t>Days in the period</t>
        </is>
      </c>
      <c r="B2" t="n">
        <v>182</v>
      </c>
    </row>
    <row r="3">
      <c r="A3" t="inlineStr">
        <is>
          <t>Limits divide by</t>
        </is>
      </c>
      <c r="B3" t="n">
        <v>365</v>
      </c>
    </row>
    <row r="4">
      <c r="A4" t="inlineStr">
        <is>
          <t>Associated companies</t>
        </is>
      </c>
      <c r="B4" t="n">
        <v>0</v>
      </c>
    </row>
    <row r="6">
      <c r="A6" t="inlineStr">
        <is>
          <t>Sales (4000)</t>
        </is>
      </c>
      <c r="B6" s="3" t="n">
        <v>10000</v>
      </c>
    </row>
    <row r="7">
      <c r="A7" t="inlineStr">
        <is>
          <t>Wages (6000)</t>
        </is>
      </c>
      <c r="B7" s="3" t="n">
        <v>-40000</v>
      </c>
    </row>
    <row r="8">
      <c r="A8" t="inlineStr">
        <is>
          <t>Adjusted profit</t>
        </is>
      </c>
      <c r="B8" s="3">
        <f>B6+B7</f>
        <v/>
      </c>
      <c r="C8" s="4" t="n">
        <v>-30000</v>
      </c>
    </row>
    <row r="9">
      <c r="A9" t="inlineStr">
        <is>
          <t>Main pool from A (closing)</t>
        </is>
      </c>
      <c r="B9" s="3" t="n">
        <v>91111.11</v>
      </c>
    </row>
    <row r="10">
      <c r="A10" t="inlineStr">
        <is>
          <t>Capital allowances (18% x 182/365)</t>
        </is>
      </c>
      <c r="B10" s="3">
        <f>ROUND(B9*18/100*182/365,2)</f>
        <v/>
      </c>
      <c r="C10" s="4" t="n">
        <v>8177.53</v>
      </c>
    </row>
    <row r="11">
      <c r="A11" t="inlineStr">
        <is>
          <t>Trading loss</t>
        </is>
      </c>
      <c r="B11" s="3">
        <f>MAX(B10-B8,0)</f>
        <v/>
      </c>
      <c r="C11" s="4" t="n">
        <v>38177.53</v>
      </c>
    </row>
    <row r="12">
      <c r="A12" t="inlineStr">
        <is>
          <t>Carried back to A (claim)</t>
        </is>
      </c>
      <c r="B12" s="3">
        <f>B11</f>
        <v/>
      </c>
      <c r="C12" s="4" t="n">
        <v>38177.53</v>
      </c>
    </row>
    <row r="13">
      <c r="A13" t="inlineStr">
        <is>
          <t>Losses carried forward</t>
        </is>
      </c>
      <c r="B13" s="3">
        <f>B11-B12</f>
        <v/>
      </c>
      <c r="C13" s="4" t="n">
        <v>0</v>
      </c>
    </row>
    <row r="14">
      <c r="A14" t="inlineStr">
        <is>
          <t>Taxable total profits</t>
        </is>
      </c>
      <c r="B14" s="3" t="n">
        <v>0</v>
      </c>
      <c r="C14" s="4" t="n">
        <v>0</v>
      </c>
    </row>
    <row r="16">
      <c r="A16" s="1" t="inlineStr">
        <is>
          <t>Financial year</t>
        </is>
      </c>
      <c r="B16" s="1" t="inlineStr">
        <is>
          <t>Days</t>
        </is>
      </c>
      <c r="C16" s="1" t="inlineStr">
        <is>
          <t>Profit</t>
        </is>
      </c>
      <c r="D16" s="1" t="inlineStr">
        <is>
          <t>Lower limit</t>
        </is>
      </c>
      <c r="E16" s="1" t="inlineStr">
        <is>
          <t>Upper limit</t>
        </is>
      </c>
      <c r="F16" s="1" t="inlineStr">
        <is>
          <t>Tax at rate</t>
        </is>
      </c>
      <c r="G16" s="1" t="inlineStr">
        <is>
          <t>Marginal relief</t>
        </is>
      </c>
      <c r="H16" s="1" t="inlineStr">
        <is>
          <t>Tax</t>
        </is>
      </c>
      <c r="I16" s="1" t="inlineStr">
        <is>
          <t>Expected tax</t>
        </is>
      </c>
      <c r="J16" s="1" t="inlineStr">
        <is>
          <t>Expected relief</t>
        </is>
      </c>
    </row>
    <row r="17">
      <c r="A17" t="n">
        <v>2027</v>
      </c>
      <c r="B17" t="n">
        <v>91</v>
      </c>
      <c r="C17" s="3">
        <f>ROUND(B14*B17/$B$2,2)</f>
        <v/>
      </c>
      <c r="D17" s="3">
        <f>ROUND(Rates!$B$3*B17/$B$3/(1+$B$4),2)</f>
        <v/>
      </c>
      <c r="E17" s="3">
        <f>ROUND(Rates!$B$4*B17/$B$3/(1+$B$4),2)</f>
        <v/>
      </c>
      <c r="F17" s="3">
        <f>IF(C17&lt;=D17,ROUND(C17*Rates!$B$2/100,2),ROUND(C17*Rates!$B$1/100,2))</f>
        <v/>
      </c>
      <c r="G17" s="3">
        <f>IF(AND(C17&gt;D17,C17&lt;E17),ROUND(Rates!$B$5*(E17-C17),2),0)</f>
        <v/>
      </c>
      <c r="H17" s="3">
        <f>F17-G17</f>
        <v/>
      </c>
      <c r="I17" s="5" t="n">
        <v>0</v>
      </c>
      <c r="J17" s="5" t="n">
        <v>0</v>
      </c>
    </row>
    <row r="18">
      <c r="A18" t="n">
        <v>2028</v>
      </c>
      <c r="B18" t="n">
        <v>91</v>
      </c>
      <c r="C18" s="3">
        <f>B14-SUM(C17:C17)</f>
        <v/>
      </c>
      <c r="D18" s="3">
        <f>ROUND(Rates!$B$3*B18/$B$3/(1+$B$4),2)</f>
        <v/>
      </c>
      <c r="E18" s="3">
        <f>ROUND(Rates!$B$4*B18/$B$3/(1+$B$4),2)</f>
        <v/>
      </c>
      <c r="F18" s="3">
        <f>IF(C18&lt;=D18,ROUND(C18*Rates!$B$2/100,2),ROUND(C18*Rates!$B$1/100,2))</f>
        <v/>
      </c>
      <c r="G18" s="3">
        <f>IF(AND(C18&gt;D18,C18&lt;E18),ROUND(Rates!$B$5*(E18-C18),2),0)</f>
        <v/>
      </c>
      <c r="H18" s="3">
        <f>F18-G18</f>
        <v/>
      </c>
      <c r="I18" s="5" t="n">
        <v>0</v>
      </c>
      <c r="J18" s="5" t="n">
        <v>0</v>
      </c>
    </row>
    <row r="19">
      <c r="A19" s="1" t="inlineStr">
        <is>
          <t>Corporation tax</t>
        </is>
      </c>
      <c r="H19" s="3">
        <f>SUM(H17:H18)</f>
        <v/>
      </c>
      <c r="I19" s="4" t="n">
        <v>0</v>
      </c>
    </row>
    <row r="21">
      <c r="A21" s="1" t="inlineStr">
        <is>
          <t>Check: workings equal expected</t>
        </is>
      </c>
      <c r="B21">
        <f>AND(ROUND(B8-C8,2)=0,ROUND(B10-C10,2)=0,ROUND(B11-C11,2)=0,ROUND(B12-C12,2)=0,ROUND(B13-C13,2)=0,ROUND(B14-C14,2)=0,ROUND(H17-I17,2)=0,ROUND(G17-J17,2)=0,ROUND(C17-0.0,2)=0,ROUND(H18-I18,2)=0,ROUND(G18-J18,2)=0,ROUND(C18-0.0,2)=0,ROUND(H19-I19,2)=0)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A after carry back</t>
        </is>
      </c>
    </row>
    <row r="2">
      <c r="A2" t="inlineStr">
        <is>
          <t>Days in the period</t>
        </is>
      </c>
      <c r="B2" t="n">
        <v>365</v>
      </c>
    </row>
    <row r="3">
      <c r="A3" t="inlineStr">
        <is>
          <t>Limits divide by</t>
        </is>
      </c>
      <c r="B3">
        <f>B2</f>
        <v/>
      </c>
    </row>
    <row r="4">
      <c r="A4" t="inlineStr">
        <is>
          <t>Associated companies</t>
        </is>
      </c>
      <c r="B4" t="n">
        <v>0</v>
      </c>
    </row>
    <row r="6">
      <c r="A6" t="inlineStr">
        <is>
          <t>Sales (4000)</t>
        </is>
      </c>
      <c r="B6" s="3" t="n">
        <v>200000</v>
      </c>
    </row>
    <row r="7">
      <c r="A7" t="inlineStr">
        <is>
          <t>Wages (6000)</t>
        </is>
      </c>
      <c r="B7" s="3" t="n">
        <v>-50000</v>
      </c>
    </row>
    <row r="8">
      <c r="A8" t="inlineStr">
        <is>
          <t>Adjusted profit</t>
        </is>
      </c>
      <c r="B8" s="3">
        <f>B6+B7</f>
        <v/>
      </c>
    </row>
    <row r="9">
      <c r="A9" t="inlineStr">
        <is>
          <t>Main pool opening</t>
        </is>
      </c>
      <c r="B9" s="3" t="n">
        <v>111111.11</v>
      </c>
    </row>
    <row r="10">
      <c r="A10" t="inlineStr">
        <is>
          <t>Capital allowances (WDA 18%)</t>
        </is>
      </c>
      <c r="B10" s="3">
        <f>ROUND(B9*18/100,2)</f>
        <v/>
      </c>
    </row>
    <row r="11">
      <c r="A11" t="inlineStr">
        <is>
          <t>Trading profit</t>
        </is>
      </c>
      <c r="B11" s="3">
        <f>MAX(B8-B10,0)</f>
        <v/>
      </c>
    </row>
    <row r="12">
      <c r="A12" t="inlineStr">
        <is>
          <t>Losses brought forward</t>
        </is>
      </c>
      <c r="B12" s="3" t="n">
        <v>10000</v>
      </c>
    </row>
    <row r="13">
      <c r="A13" t="inlineStr">
        <is>
          <t>Losses brought forward used</t>
        </is>
      </c>
      <c r="B13" s="3">
        <f>MIN(B12,B11)</f>
        <v/>
      </c>
    </row>
    <row r="14">
      <c r="A14" t="inlineStr">
        <is>
          <t>Loss carried back from B</t>
        </is>
      </c>
      <c r="B14" s="3">
        <f>'B loss period'!B12</f>
        <v/>
      </c>
      <c r="C14" s="4" t="n">
        <v>38177.53</v>
      </c>
    </row>
    <row r="15">
      <c r="A15" t="inlineStr">
        <is>
          <t>Taxable total profits</t>
        </is>
      </c>
      <c r="B15" s="3">
        <f>B11-B13-B14</f>
        <v/>
      </c>
      <c r="C15" s="4" t="n">
        <v>81822.47</v>
      </c>
    </row>
    <row r="17">
      <c r="A17" s="1" t="inlineStr">
        <is>
          <t>Financial year</t>
        </is>
      </c>
      <c r="B17" s="1" t="inlineStr">
        <is>
          <t>Days</t>
        </is>
      </c>
      <c r="C17" s="1" t="inlineStr">
        <is>
          <t>Profit</t>
        </is>
      </c>
      <c r="D17" s="1" t="inlineStr">
        <is>
          <t>Lower limit</t>
        </is>
      </c>
      <c r="E17" s="1" t="inlineStr">
        <is>
          <t>Upper limit</t>
        </is>
      </c>
      <c r="F17" s="1" t="inlineStr">
        <is>
          <t>Tax at rate</t>
        </is>
      </c>
      <c r="G17" s="1" t="inlineStr">
        <is>
          <t>Marginal relief</t>
        </is>
      </c>
      <c r="H17" s="1" t="inlineStr">
        <is>
          <t>Tax</t>
        </is>
      </c>
      <c r="I17" s="1" t="inlineStr">
        <is>
          <t>Expected tax</t>
        </is>
      </c>
      <c r="J17" s="1" t="inlineStr">
        <is>
          <t>Expected relief</t>
        </is>
      </c>
    </row>
    <row r="18">
      <c r="A18" t="n">
        <v>2026</v>
      </c>
      <c r="B18" t="n">
        <v>90</v>
      </c>
      <c r="C18" s="3">
        <f>ROUND(B15*B18/$B$2,2)</f>
        <v/>
      </c>
      <c r="D18" s="3">
        <f>ROUND(Rates!$B$3*B18/$B$3/(1+$B$4),2)</f>
        <v/>
      </c>
      <c r="E18" s="3">
        <f>ROUND(Rates!$B$4*B18/$B$3/(1+$B$4),2)</f>
        <v/>
      </c>
      <c r="F18" s="3">
        <f>IF(C18&lt;=D18,ROUND(C18*Rates!$B$2/100,2),ROUND(C18*Rates!$B$1/100,2))</f>
        <v/>
      </c>
      <c r="G18" s="3">
        <f>IF(AND(C18&gt;D18,C18&lt;E18),ROUND(Rates!$B$5*(E18-C18),2),0)</f>
        <v/>
      </c>
      <c r="H18" s="3">
        <f>F18-G18</f>
        <v/>
      </c>
      <c r="I18" s="5" t="n">
        <v>4421.82</v>
      </c>
      <c r="J18" s="5" t="n">
        <v>622.03</v>
      </c>
    </row>
    <row r="19">
      <c r="A19" t="n">
        <v>2027</v>
      </c>
      <c r="B19" t="n">
        <v>275</v>
      </c>
      <c r="C19" s="3">
        <f>B15-SUM(C18:C18)</f>
        <v/>
      </c>
      <c r="D19" s="3">
        <f>ROUND(Rates!$B$3*B19/$B$3/(1+$B$4),2)</f>
        <v/>
      </c>
      <c r="E19" s="3">
        <f>ROUND(Rates!$B$4*B19/$B$3/(1+$B$4),2)</f>
        <v/>
      </c>
      <c r="F19" s="3">
        <f>IF(C19&lt;=D19,ROUND(C19*Rates!$B$2/100,2),ROUND(C19*Rates!$B$1/100,2))</f>
        <v/>
      </c>
      <c r="G19" s="3">
        <f>IF(AND(C19&gt;D19,C19&lt;E19),ROUND(Rates!$B$5*(E19-C19),2),0)</f>
        <v/>
      </c>
      <c r="H19" s="3">
        <f>F19-G19</f>
        <v/>
      </c>
      <c r="I19" s="5" t="n">
        <v>13511.13</v>
      </c>
      <c r="J19" s="5" t="n">
        <v>1900.64</v>
      </c>
    </row>
    <row r="20">
      <c r="A20" s="1" t="inlineStr">
        <is>
          <t>Corporation tax</t>
        </is>
      </c>
      <c r="H20" s="3">
        <f>SUM(H18:H19)</f>
        <v/>
      </c>
      <c r="I20" s="4" t="n">
        <v>17932.95</v>
      </c>
    </row>
    <row r="22">
      <c r="A22" s="1" t="inlineStr">
        <is>
          <t>Check: workings equal expected</t>
        </is>
      </c>
      <c r="B22">
        <f>AND(ROUND(B14-C14,2)=0,ROUND(B15-C15,2)=0,ROUND(H18-I18,2)=0,ROUND(G18-J18,2)=0,ROUND(C18-20175.4,2)=0,ROUND(H19-I19,2)=0,ROUND(G19-J19,2)=0,ROUND(C19-61647.07,2)=0,ROUND(H20-I20,2)=0)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2026-10-28T23:51:00Z</dcterms:created>
  <dcterms:modified xmlns:dcterms="http://purl.org/dc/terms/" xmlns:xsi="http://www.w3.org/2001/XMLSchema-instance" xsi:type="dcterms:W3CDTF">2026-10-28T23:51:00Z</dcterms:modified>
</cp:coreProperties>
</file>