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Period 1" sheetId="4" state="visible" r:id="rId4"/>
    <sheet xmlns:r="http://schemas.openxmlformats.org/officeDocument/2006/relationships" name="Period 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1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164" fontId="0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V4-M3 golden workings: capital allowances of two synthetic CT periods (DEC-100)</t>
        </is>
      </c>
    </row>
    <row r="2">
      <c r="A2" s="2" t="inlineStr"/>
    </row>
    <row r="3">
      <c r="A3" s="2" t="inlineStr">
        <is>
          <t>V4-M3 (DEC-100) golden: two consecutive synthetic CT periods (2027, 12 months; then 1 January to 30 June 2028, 182 days). The rates and limits are entered as test fixtures and verified by a second person in the test; they are not tax advice. Worked by hand in docs/architecture/v4-m3-golden-workings.xlsx.</t>
        </is>
      </c>
    </row>
    <row r="4">
      <c r="A4" s="2" t="inlineStr">
        <is>
          <t>Fraction: 1 for a 12-month period, else days / 365. AIA: the limit x fraction, given to AIA additions in date order; the excess goes into the main pool.</t>
        </is>
      </c>
    </row>
    <row r="5">
      <c r="A5" s="2" t="inlineStr">
        <is>
          <t>Disposal value: the lower of the proceeds and the cost. Pool: opening + additions - disposal values = available.</t>
        </is>
      </c>
    </row>
    <row r="6">
      <c r="A6" s="2" t="inlineStr">
        <is>
          <t>Below zero: balancing charge. A single asset pool disposed of: balancing allowance. Main or special pool at or under the small pools limit x fraction: all claimed.</t>
        </is>
      </c>
    </row>
    <row r="7">
      <c r="A7" s="2" t="inlineStr">
        <is>
          <t>Otherwise WDA = available x rate x fraction, rounded to the penny. Green cells are the golden the tests assert; the Check rows must be TRUE.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3" t="inlineStr">
        <is>
          <t>Rule</t>
        </is>
      </c>
      <c r="B1" s="3" t="inlineStr">
        <is>
          <t>Value</t>
        </is>
      </c>
    </row>
    <row r="2">
      <c r="A2" t="inlineStr">
        <is>
          <t>AIA annual limit</t>
        </is>
      </c>
      <c r="B2" t="n">
        <v>1000000</v>
      </c>
    </row>
    <row r="3">
      <c r="A3" t="inlineStr">
        <is>
          <t>Main rate %</t>
        </is>
      </c>
      <c r="B3" t="n">
        <v>18</v>
      </c>
    </row>
    <row r="4">
      <c r="A4" t="inlineStr">
        <is>
          <t>Special rate %</t>
        </is>
      </c>
      <c r="B4" t="n">
        <v>6</v>
      </c>
    </row>
    <row r="5">
      <c r="A5" t="inlineStr">
        <is>
          <t>Small pools limit</t>
        </is>
      </c>
      <c r="B5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>
      <c r="A1" s="3" t="inlineStr">
        <is>
          <t>Key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Acquired</t>
        </is>
      </c>
      <c r="E1" s="3" t="inlineStr">
        <is>
          <t>Cost</t>
        </is>
      </c>
      <c r="F1" s="3" t="inlineStr">
        <is>
          <t>Disposed</t>
        </is>
      </c>
      <c r="G1" s="3" t="inlineStr">
        <is>
          <t>Proceeds</t>
        </is>
      </c>
      <c r="H1" s="3" t="inlineStr">
        <is>
          <t>Disposal value</t>
        </is>
      </c>
    </row>
    <row r="2">
      <c r="A2" t="inlineStr">
        <is>
          <t>S0</t>
        </is>
      </c>
      <c r="B2" t="inlineStr">
        <is>
          <t>Old machine in its own pool</t>
        </is>
      </c>
      <c r="C2" t="inlineStr">
        <is>
          <t>SINGLE_ASSET_POOL</t>
        </is>
      </c>
      <c r="D2" s="4" t="n">
        <v>45717</v>
      </c>
      <c r="E2" s="5" t="n">
        <v>5000</v>
      </c>
      <c r="F2" s="4" t="n">
        <v>46600</v>
      </c>
      <c r="G2" s="5" t="n">
        <v>1000</v>
      </c>
      <c r="H2" s="5">
        <f>MIN(G2,E2)</f>
        <v/>
      </c>
    </row>
    <row r="3">
      <c r="A3" t="inlineStr">
        <is>
          <t>D1</t>
        </is>
      </c>
      <c r="B3" t="inlineStr">
        <is>
          <t>Old van in the main pool</t>
        </is>
      </c>
      <c r="C3" t="inlineStr">
        <is>
          <t>MAIN_POOL</t>
        </is>
      </c>
      <c r="D3" s="4" t="n">
        <v>45809</v>
      </c>
      <c r="E3" s="5" t="n">
        <v>2500</v>
      </c>
      <c r="F3" s="4" t="n">
        <v>46631</v>
      </c>
      <c r="G3" s="5" t="n">
        <v>3000</v>
      </c>
      <c r="H3" s="5">
        <f>MIN(G3,E3)</f>
        <v/>
      </c>
    </row>
    <row r="4">
      <c r="A4" t="inlineStr">
        <is>
          <t>A1</t>
        </is>
      </c>
      <c r="B4" t="inlineStr">
        <is>
          <t>Production line</t>
        </is>
      </c>
      <c r="C4" t="inlineStr">
        <is>
          <t>AIA</t>
        </is>
      </c>
      <c r="D4" s="4" t="n">
        <v>46419</v>
      </c>
      <c r="E4" s="5" t="n">
        <v>900000</v>
      </c>
    </row>
    <row r="5">
      <c r="A5" t="inlineStr">
        <is>
          <t>A3</t>
        </is>
      </c>
      <c r="B5" t="inlineStr">
        <is>
          <t>Office furniture</t>
        </is>
      </c>
      <c r="C5" t="inlineStr">
        <is>
          <t>MAIN_POOL</t>
        </is>
      </c>
      <c r="D5" s="4" t="n">
        <v>46447</v>
      </c>
      <c r="E5" s="5" t="n">
        <v>5000</v>
      </c>
      <c r="F5" s="4" t="n">
        <v>46874</v>
      </c>
      <c r="G5" s="5" t="n">
        <v>6000</v>
      </c>
      <c r="H5" s="5">
        <f>MIN(G5,E5)</f>
        <v/>
      </c>
    </row>
    <row r="6">
      <c r="A6" t="inlineStr">
        <is>
          <t>A6</t>
        </is>
      </c>
      <c r="B6" t="inlineStr">
        <is>
          <t>Artwork (not plant)</t>
        </is>
      </c>
      <c r="C6" t="inlineStr">
        <is>
          <t>NOT_QUALIFYING</t>
        </is>
      </c>
      <c r="D6" s="4" t="n">
        <v>46478</v>
      </c>
      <c r="E6" s="5" t="n">
        <v>10000</v>
      </c>
    </row>
    <row r="7">
      <c r="A7" t="inlineStr">
        <is>
          <t>A2</t>
        </is>
      </c>
      <c r="B7" t="inlineStr">
        <is>
          <t>Packing machine</t>
        </is>
      </c>
      <c r="C7" t="inlineStr">
        <is>
          <t>AIA</t>
        </is>
      </c>
      <c r="D7" s="4" t="n">
        <v>46508</v>
      </c>
      <c r="E7" s="5" t="n">
        <v>300000</v>
      </c>
    </row>
    <row r="8">
      <c r="A8" t="inlineStr">
        <is>
          <t>A4</t>
        </is>
      </c>
      <c r="B8" t="inlineStr">
        <is>
          <t>Integral features</t>
        </is>
      </c>
      <c r="C8" t="inlineStr">
        <is>
          <t>SPECIAL_RATE_POOL</t>
        </is>
      </c>
      <c r="D8" s="4" t="n">
        <v>46539</v>
      </c>
      <c r="E8" s="5" t="n">
        <v>30000</v>
      </c>
      <c r="F8" s="4" t="n">
        <v>46844</v>
      </c>
      <c r="G8" s="5" t="n">
        <v>40000</v>
      </c>
      <c r="H8" s="5">
        <f>MIN(G8,E8)</f>
        <v/>
      </c>
    </row>
    <row r="9">
      <c r="A9" t="inlineStr">
        <is>
          <t>A5</t>
        </is>
      </c>
      <c r="B9" t="inlineStr">
        <is>
          <t>Short-life computer</t>
        </is>
      </c>
      <c r="C9" t="inlineStr">
        <is>
          <t>SINGLE_ASSET_POOL</t>
        </is>
      </c>
      <c r="D9" s="4" t="n">
        <v>46569</v>
      </c>
      <c r="E9" s="5" t="n">
        <v>4000</v>
      </c>
      <c r="F9" s="4" t="n">
        <v>46905</v>
      </c>
      <c r="G9" s="5" t="n">
        <v>3500</v>
      </c>
      <c r="H9" s="5">
        <f>MIN(G9,E9)</f>
        <v/>
      </c>
    </row>
    <row r="10">
      <c r="A10" t="inlineStr">
        <is>
          <t>A7</t>
        </is>
      </c>
      <c r="B10" t="inlineStr">
        <is>
          <t>Robot cell</t>
        </is>
      </c>
      <c r="C10" t="inlineStr">
        <is>
          <t>AIA</t>
        </is>
      </c>
      <c r="D10" s="4" t="n">
        <v>46813</v>
      </c>
      <c r="E10" s="5" t="n">
        <v>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CT period 2027-01-01 to 2027-12-31</t>
        </is>
      </c>
    </row>
    <row r="2">
      <c r="A2" t="inlineStr">
        <is>
          <t>Days</t>
        </is>
      </c>
      <c r="B2">
        <f>DATE(2027,12,31)-DATE(2027,1,1)+1</f>
        <v/>
      </c>
    </row>
    <row r="3">
      <c r="A3" t="inlineStr">
        <is>
          <t>Fraction</t>
        </is>
      </c>
      <c r="B3">
        <f>1</f>
        <v/>
      </c>
    </row>
    <row r="4">
      <c r="A4" t="inlineStr">
        <is>
          <t>AIA available</t>
        </is>
      </c>
      <c r="B4" s="5">
        <f>ROUND(Rules!$B$2*B3,2)</f>
        <v/>
      </c>
      <c r="C4" s="6" t="n">
        <v>1000000</v>
      </c>
    </row>
    <row r="5">
      <c r="A5" t="inlineStr">
        <is>
          <t>Small pools limit</t>
        </is>
      </c>
      <c r="B5" s="5">
        <f>ROUND(Rules!$B$5*B3,2)</f>
        <v/>
      </c>
    </row>
    <row r="7">
      <c r="A7" s="3" t="inlineStr">
        <is>
          <t>AIA addition</t>
        </is>
      </c>
      <c r="B7" s="3" t="inlineStr">
        <is>
          <t>Cost</t>
        </is>
      </c>
      <c r="C7" s="3" t="inlineStr">
        <is>
          <t>AIA</t>
        </is>
      </c>
      <c r="D7" s="3" t="inlineStr">
        <is>
          <t>To main pool</t>
        </is>
      </c>
      <c r="E7" s="3" t="inlineStr">
        <is>
          <t>Expected AIA</t>
        </is>
      </c>
      <c r="F7" s="3" t="inlineStr">
        <is>
          <t>Expected to main</t>
        </is>
      </c>
    </row>
    <row r="8">
      <c r="A8" t="inlineStr">
        <is>
          <t>A1 Production line</t>
        </is>
      </c>
      <c r="B8">
        <f>Assets!$E$4</f>
        <v/>
      </c>
      <c r="C8">
        <f>MIN(B8,$B$4)</f>
        <v/>
      </c>
      <c r="D8">
        <f>B8-C8</f>
        <v/>
      </c>
      <c r="E8" s="6" t="n">
        <v>900000</v>
      </c>
      <c r="F8" s="6" t="n">
        <v>0</v>
      </c>
    </row>
    <row r="9">
      <c r="A9" t="inlineStr">
        <is>
          <t>A2 Packing machine</t>
        </is>
      </c>
      <c r="B9">
        <f>Assets!$E$7</f>
        <v/>
      </c>
      <c r="C9">
        <f>MIN(B9,$B$4-SUM(C$8:C8))</f>
        <v/>
      </c>
      <c r="D9">
        <f>B9-C9</f>
        <v/>
      </c>
      <c r="E9" s="6" t="n">
        <v>100000</v>
      </c>
      <c r="F9" s="6" t="n">
        <v>200000</v>
      </c>
    </row>
    <row r="11">
      <c r="A11" s="3" t="inlineStr">
        <is>
          <t>Pool</t>
        </is>
      </c>
      <c r="B11" s="3" t="inlineStr">
        <is>
          <t>Opening</t>
        </is>
      </c>
      <c r="C11" s="3" t="inlineStr">
        <is>
          <t>Additions</t>
        </is>
      </c>
      <c r="D11" s="3" t="inlineStr">
        <is>
          <t>Disposal values</t>
        </is>
      </c>
      <c r="E11" s="3" t="inlineStr">
        <is>
          <t>Available</t>
        </is>
      </c>
      <c r="F11" s="3" t="inlineStr">
        <is>
          <t>WDA (incl. small pool)</t>
        </is>
      </c>
      <c r="G11" s="3" t="inlineStr">
        <is>
          <t>Balancing allowance</t>
        </is>
      </c>
      <c r="H11" s="3" t="inlineStr">
        <is>
          <t>Balancing charge</t>
        </is>
      </c>
      <c r="I11" s="3" t="inlineStr">
        <is>
          <t>Closing</t>
        </is>
      </c>
      <c r="J11" s="3" t="inlineStr">
        <is>
          <t>Exp. WDA</t>
        </is>
      </c>
      <c r="K11" s="3" t="inlineStr">
        <is>
          <t>Exp. BA</t>
        </is>
      </c>
      <c r="L11" s="3" t="inlineStr">
        <is>
          <t>Exp. BC</t>
        </is>
      </c>
      <c r="M11" s="3" t="inlineStr">
        <is>
          <t>Exp. closing</t>
        </is>
      </c>
    </row>
    <row r="12">
      <c r="A12" t="inlineStr">
        <is>
          <t>MAIN</t>
        </is>
      </c>
      <c r="B12" s="5" t="n">
        <v>10000</v>
      </c>
      <c r="C12" s="5">
        <f>Assets!$E$5+SUM(D8:D9)</f>
        <v/>
      </c>
      <c r="D12" s="5">
        <f>Assets!$H$3</f>
        <v/>
      </c>
      <c r="E12" s="5">
        <f>B12+C12-D12</f>
        <v/>
      </c>
      <c r="F12" s="5">
        <f>IF(E12&lt;0,0,IF(AND(E12&gt;0,E12&lt;=$B$5),E12,ROUND(E12*Rules!$B$3/100*$B$3,2)))</f>
        <v/>
      </c>
      <c r="G12" s="5">
        <f>IF(AND(FALSE,E12&gt;=0),E12,0)</f>
        <v/>
      </c>
      <c r="H12" s="5">
        <f>IF(E12&lt;0,-E12,0)</f>
        <v/>
      </c>
      <c r="I12" s="5">
        <f>IF(E12&lt;0,0,E12-F12-G12)</f>
        <v/>
      </c>
      <c r="J12" s="7" t="n">
        <v>38250</v>
      </c>
      <c r="K12" s="7" t="n">
        <v>0</v>
      </c>
      <c r="L12" s="7" t="n">
        <v>0</v>
      </c>
      <c r="M12" s="7" t="n">
        <v>174250</v>
      </c>
    </row>
    <row r="13">
      <c r="A13" t="inlineStr">
        <is>
          <t>SPECIAL_RATE</t>
        </is>
      </c>
      <c r="B13" s="5" t="n">
        <v>2000</v>
      </c>
      <c r="C13" s="5">
        <f>Assets!$E$8</f>
        <v/>
      </c>
      <c r="D13" s="5">
        <f>0</f>
        <v/>
      </c>
      <c r="E13" s="5">
        <f>B13+C13-D13</f>
        <v/>
      </c>
      <c r="F13" s="5">
        <f>IF(E13&lt;0,0,IF(AND(E13&gt;0,E13&lt;=$B$5),E13,ROUND(E13*Rules!$B$4/100*$B$3,2)))</f>
        <v/>
      </c>
      <c r="G13" s="5">
        <f>IF(AND(FALSE,E13&gt;=0),E13,0)</f>
        <v/>
      </c>
      <c r="H13" s="5">
        <f>IF(E13&lt;0,-E13,0)</f>
        <v/>
      </c>
      <c r="I13" s="5">
        <f>IF(E13&lt;0,0,E13-F13-G13)</f>
        <v/>
      </c>
      <c r="J13" s="7" t="n">
        <v>1920</v>
      </c>
      <c r="K13" s="7" t="n">
        <v>0</v>
      </c>
      <c r="L13" s="7" t="n">
        <v>0</v>
      </c>
      <c r="M13" s="7" t="n">
        <v>30080</v>
      </c>
    </row>
    <row r="14">
      <c r="A14" t="inlineStr">
        <is>
          <t>SINGLE_ASSET A5</t>
        </is>
      </c>
      <c r="B14" s="5" t="n">
        <v>0</v>
      </c>
      <c r="C14" s="5">
        <f>Assets!$E$9</f>
        <v/>
      </c>
      <c r="D14" s="5">
        <f>0</f>
        <v/>
      </c>
      <c r="E14" s="5">
        <f>B14+C14-D14</f>
        <v/>
      </c>
      <c r="F14" s="5">
        <f>IF(OR(E14&lt;0,FALSE),0,ROUND(E14*Rules!$B$3/100*$B$3,2))</f>
        <v/>
      </c>
      <c r="G14" s="5">
        <f>IF(AND(FALSE,E14&gt;=0),E14,0)</f>
        <v/>
      </c>
      <c r="H14" s="5">
        <f>IF(E14&lt;0,-E14,0)</f>
        <v/>
      </c>
      <c r="I14" s="5">
        <f>IF(E14&lt;0,0,E14-F14-G14)</f>
        <v/>
      </c>
      <c r="J14" s="7" t="n">
        <v>720</v>
      </c>
      <c r="K14" s="7" t="n">
        <v>0</v>
      </c>
      <c r="L14" s="7" t="n">
        <v>0</v>
      </c>
      <c r="M14" s="7" t="n">
        <v>3280</v>
      </c>
    </row>
    <row r="15">
      <c r="A15" t="inlineStr">
        <is>
          <t>SINGLE_ASSET S0</t>
        </is>
      </c>
      <c r="B15" s="5" t="n">
        <v>3000</v>
      </c>
      <c r="C15" s="5">
        <f>0</f>
        <v/>
      </c>
      <c r="D15" s="5">
        <f>Assets!$H$2</f>
        <v/>
      </c>
      <c r="E15" s="5">
        <f>B15+C15-D15</f>
        <v/>
      </c>
      <c r="F15" s="5">
        <f>IF(OR(E15&lt;0,TRUE),0,ROUND(E15*Rules!$B$3/100*$B$3,2))</f>
        <v/>
      </c>
      <c r="G15" s="5">
        <f>IF(AND(TRUE,E15&gt;=0),E15,0)</f>
        <v/>
      </c>
      <c r="H15" s="5">
        <f>IF(E15&lt;0,-E15,0)</f>
        <v/>
      </c>
      <c r="I15" s="5">
        <f>IF(E15&lt;0,0,E15-F15-G15)</f>
        <v/>
      </c>
      <c r="J15" s="7" t="n">
        <v>0</v>
      </c>
      <c r="K15" s="7" t="n">
        <v>2000</v>
      </c>
      <c r="L15" s="7" t="n">
        <v>0</v>
      </c>
      <c r="M15" s="7" t="n">
        <v>0</v>
      </c>
    </row>
    <row r="17">
      <c r="A17" s="3" t="inlineStr">
        <is>
          <t>Totals</t>
        </is>
      </c>
      <c r="B17" s="3" t="inlineStr">
        <is>
          <t>Workings</t>
        </is>
      </c>
      <c r="C17" s="3" t="inlineStr">
        <is>
          <t>Expected</t>
        </is>
      </c>
    </row>
    <row r="18">
      <c r="A18" t="inlineStr">
        <is>
          <t>AIA</t>
        </is>
      </c>
      <c r="B18" s="5">
        <f>SUM(C8:C9)</f>
        <v/>
      </c>
      <c r="C18" s="6" t="n">
        <v>1000000</v>
      </c>
    </row>
    <row r="19">
      <c r="A19" t="inlineStr">
        <is>
          <t>Writing-down allowances</t>
        </is>
      </c>
      <c r="B19" s="5">
        <f>SUM(F12:F15)</f>
        <v/>
      </c>
      <c r="C19" s="6" t="n">
        <v>40890</v>
      </c>
    </row>
    <row r="20">
      <c r="A20" t="inlineStr">
        <is>
          <t>Balancing allowances</t>
        </is>
      </c>
      <c r="B20" s="5">
        <f>SUM(G12:G15)</f>
        <v/>
      </c>
      <c r="C20" s="6" t="n">
        <v>2000</v>
      </c>
    </row>
    <row r="21">
      <c r="A21" t="inlineStr">
        <is>
          <t>Allowances</t>
        </is>
      </c>
      <c r="B21" s="5">
        <f>B18+B19+B20</f>
        <v/>
      </c>
      <c r="C21" s="6" t="n">
        <v>1042890</v>
      </c>
    </row>
    <row r="22">
      <c r="A22" t="inlineStr">
        <is>
          <t>Balancing charges</t>
        </is>
      </c>
      <c r="B22" s="5">
        <f>SUM(H12:H15)</f>
        <v/>
      </c>
      <c r="C22" s="6" t="n">
        <v>0</v>
      </c>
    </row>
    <row r="24">
      <c r="A24" s="1" t="inlineStr">
        <is>
          <t>Check: workings equal expected</t>
        </is>
      </c>
      <c r="B24">
        <f>AND(ROUND(B18-C18,2)=0,ROUND(B19-C19,2)=0,ROUND(B20-C20,2)=0,ROUND(B21-C21,2)=0,ROUND(B22-C22,2)=0,ROUND(B4-C4,2)=0,ROUND(C8-E8,2)=0,ROUND(C9-E9,2)=0,ROUND(F12-J12,2)=0,ROUND(G12-K12,2)=0,ROUND(H12-L12,2)=0,ROUND(I12-M12,2)=0,ROUND(F13-J13,2)=0,ROUND(G13-K13,2)=0,ROUND(H13-L13,2)=0,ROUND(I13-M13,2)=0,ROUND(F14-J14,2)=0,ROUND(G14-K14,2)=0,ROUND(H14-L14,2)=0,ROUND(I14-M14,2)=0,ROUND(F15-J15,2)=0,ROUND(G15-K15,2)=0,ROUND(H15-L15,2)=0,ROUND(I15-M15,2)=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CT period 2028-01-01 to 2028-06-30</t>
        </is>
      </c>
    </row>
    <row r="2">
      <c r="A2" t="inlineStr">
        <is>
          <t>Days</t>
        </is>
      </c>
      <c r="B2">
        <f>DATE(2028,6,30)-DATE(2028,1,1)+1</f>
        <v/>
      </c>
    </row>
    <row r="3">
      <c r="A3" t="inlineStr">
        <is>
          <t>Fraction</t>
        </is>
      </c>
      <c r="B3">
        <f>B2/365</f>
        <v/>
      </c>
    </row>
    <row r="4">
      <c r="A4" t="inlineStr">
        <is>
          <t>AIA available</t>
        </is>
      </c>
      <c r="B4" s="5">
        <f>ROUND(Rules!$B$2*B3,2)</f>
        <v/>
      </c>
      <c r="C4" s="6" t="n">
        <v>498630.14</v>
      </c>
    </row>
    <row r="5">
      <c r="A5" t="inlineStr">
        <is>
          <t>Small pools limit</t>
        </is>
      </c>
      <c r="B5" s="5">
        <f>ROUND(Rules!$B$5*B3,2)</f>
        <v/>
      </c>
    </row>
    <row r="7">
      <c r="A7" s="3" t="inlineStr">
        <is>
          <t>AIA addition</t>
        </is>
      </c>
      <c r="B7" s="3" t="inlineStr">
        <is>
          <t>Cost</t>
        </is>
      </c>
      <c r="C7" s="3" t="inlineStr">
        <is>
          <t>AIA</t>
        </is>
      </c>
      <c r="D7" s="3" t="inlineStr">
        <is>
          <t>To main pool</t>
        </is>
      </c>
      <c r="E7" s="3" t="inlineStr">
        <is>
          <t>Expected AIA</t>
        </is>
      </c>
      <c r="F7" s="3" t="inlineStr">
        <is>
          <t>Expected to main</t>
        </is>
      </c>
    </row>
    <row r="8">
      <c r="A8" t="inlineStr">
        <is>
          <t>A7 Robot cell</t>
        </is>
      </c>
      <c r="B8">
        <f>Assets!$E$10</f>
        <v/>
      </c>
      <c r="C8">
        <f>MIN(B8,$B$4)</f>
        <v/>
      </c>
      <c r="D8">
        <f>B8-C8</f>
        <v/>
      </c>
      <c r="E8" s="6" t="n">
        <v>498630.14</v>
      </c>
      <c r="F8" s="6" t="n">
        <v>101369.86</v>
      </c>
    </row>
    <row r="10">
      <c r="A10" s="3" t="inlineStr">
        <is>
          <t>Pool</t>
        </is>
      </c>
      <c r="B10" s="3" t="inlineStr">
        <is>
          <t>Opening</t>
        </is>
      </c>
      <c r="C10" s="3" t="inlineStr">
        <is>
          <t>Additions</t>
        </is>
      </c>
      <c r="D10" s="3" t="inlineStr">
        <is>
          <t>Disposal values</t>
        </is>
      </c>
      <c r="E10" s="3" t="inlineStr">
        <is>
          <t>Available</t>
        </is>
      </c>
      <c r="F10" s="3" t="inlineStr">
        <is>
          <t>WDA (incl. small pool)</t>
        </is>
      </c>
      <c r="G10" s="3" t="inlineStr">
        <is>
          <t>Balancing allowance</t>
        </is>
      </c>
      <c r="H10" s="3" t="inlineStr">
        <is>
          <t>Balancing charge</t>
        </is>
      </c>
      <c r="I10" s="3" t="inlineStr">
        <is>
          <t>Closing</t>
        </is>
      </c>
      <c r="J10" s="3" t="inlineStr">
        <is>
          <t>Exp. WDA</t>
        </is>
      </c>
      <c r="K10" s="3" t="inlineStr">
        <is>
          <t>Exp. BA</t>
        </is>
      </c>
      <c r="L10" s="3" t="inlineStr">
        <is>
          <t>Exp. BC</t>
        </is>
      </c>
      <c r="M10" s="3" t="inlineStr">
        <is>
          <t>Exp. closing</t>
        </is>
      </c>
    </row>
    <row r="11">
      <c r="A11" t="inlineStr">
        <is>
          <t>MAIN</t>
        </is>
      </c>
      <c r="B11" s="5">
        <f>'Period 1'!I12</f>
        <v/>
      </c>
      <c r="C11" s="5">
        <f>SUM(D8:D8)</f>
        <v/>
      </c>
      <c r="D11" s="5">
        <f>Assets!$H$5</f>
        <v/>
      </c>
      <c r="E11" s="5">
        <f>B11+C11-D11</f>
        <v/>
      </c>
      <c r="F11" s="5">
        <f>IF(E11&lt;0,0,IF(AND(E11&gt;0,E11&lt;=$B$5),E11,ROUND(E11*Rules!$B$3/100*$B$3,2)))</f>
        <v/>
      </c>
      <c r="G11" s="5">
        <f>IF(AND(FALSE,E11&gt;=0),E11,0)</f>
        <v/>
      </c>
      <c r="H11" s="5">
        <f>IF(E11&lt;0,-E11,0)</f>
        <v/>
      </c>
      <c r="I11" s="5">
        <f>IF(E11&lt;0,0,E11-F11-G11)</f>
        <v/>
      </c>
      <c r="J11" s="7" t="n">
        <v>24289.06</v>
      </c>
      <c r="K11" s="7" t="n">
        <v>0</v>
      </c>
      <c r="L11" s="7" t="n">
        <v>0</v>
      </c>
      <c r="M11" s="7" t="n">
        <v>246330.8</v>
      </c>
    </row>
    <row r="12">
      <c r="A12" t="inlineStr">
        <is>
          <t>SPECIAL_RATE</t>
        </is>
      </c>
      <c r="B12" s="5">
        <f>'Period 1'!I13</f>
        <v/>
      </c>
      <c r="C12" s="5">
        <f>0</f>
        <v/>
      </c>
      <c r="D12" s="5">
        <f>Assets!$H$8</f>
        <v/>
      </c>
      <c r="E12" s="5">
        <f>B12+C12-D12</f>
        <v/>
      </c>
      <c r="F12" s="5">
        <f>IF(E12&lt;0,0,IF(AND(E12&gt;0,E12&lt;=$B$5),E12,ROUND(E12*Rules!$B$4/100*$B$3,2)))</f>
        <v/>
      </c>
      <c r="G12" s="5">
        <f>IF(AND(FALSE,E12&gt;=0),E12,0)</f>
        <v/>
      </c>
      <c r="H12" s="5">
        <f>IF(E12&lt;0,-E12,0)</f>
        <v/>
      </c>
      <c r="I12" s="5">
        <f>IF(E12&lt;0,0,E12-F12-G12)</f>
        <v/>
      </c>
      <c r="J12" s="7" t="n">
        <v>80</v>
      </c>
      <c r="K12" s="7" t="n">
        <v>0</v>
      </c>
      <c r="L12" s="7" t="n">
        <v>0</v>
      </c>
      <c r="M12" s="7" t="n">
        <v>0</v>
      </c>
    </row>
    <row r="13">
      <c r="A13" t="inlineStr">
        <is>
          <t>SINGLE_ASSET A5</t>
        </is>
      </c>
      <c r="B13" s="5">
        <f>'Period 1'!I14</f>
        <v/>
      </c>
      <c r="C13" s="5">
        <f>0</f>
        <v/>
      </c>
      <c r="D13" s="5">
        <f>Assets!$H$9</f>
        <v/>
      </c>
      <c r="E13" s="5">
        <f>B13+C13-D13</f>
        <v/>
      </c>
      <c r="F13" s="5">
        <f>IF(OR(E13&lt;0,TRUE),0,ROUND(E13*Rules!$B$3/100*$B$3,2))</f>
        <v/>
      </c>
      <c r="G13" s="5">
        <f>IF(AND(TRUE,E13&gt;=0),E13,0)</f>
        <v/>
      </c>
      <c r="H13" s="5">
        <f>IF(E13&lt;0,-E13,0)</f>
        <v/>
      </c>
      <c r="I13" s="5">
        <f>IF(E13&lt;0,0,E13-F13-G13)</f>
        <v/>
      </c>
      <c r="J13" s="7" t="n">
        <v>0</v>
      </c>
      <c r="K13" s="7" t="n">
        <v>0</v>
      </c>
      <c r="L13" s="7" t="n">
        <v>220</v>
      </c>
      <c r="M13" s="7" t="n">
        <v>0</v>
      </c>
    </row>
    <row r="15">
      <c r="A15" s="3" t="inlineStr">
        <is>
          <t>Totals</t>
        </is>
      </c>
      <c r="B15" s="3" t="inlineStr">
        <is>
          <t>Workings</t>
        </is>
      </c>
      <c r="C15" s="3" t="inlineStr">
        <is>
          <t>Expected</t>
        </is>
      </c>
    </row>
    <row r="16">
      <c r="A16" t="inlineStr">
        <is>
          <t>AIA</t>
        </is>
      </c>
      <c r="B16" s="5">
        <f>SUM(C8:C8)</f>
        <v/>
      </c>
      <c r="C16" s="6" t="n">
        <v>498630.14</v>
      </c>
    </row>
    <row r="17">
      <c r="A17" t="inlineStr">
        <is>
          <t>Writing-down allowances</t>
        </is>
      </c>
      <c r="B17" s="5">
        <f>SUM(F11:F13)</f>
        <v/>
      </c>
      <c r="C17" s="6" t="n">
        <v>24369.06</v>
      </c>
    </row>
    <row r="18">
      <c r="A18" t="inlineStr">
        <is>
          <t>Balancing allowances</t>
        </is>
      </c>
      <c r="B18" s="5">
        <f>SUM(G11:G13)</f>
        <v/>
      </c>
      <c r="C18" s="6" t="n">
        <v>0</v>
      </c>
    </row>
    <row r="19">
      <c r="A19" t="inlineStr">
        <is>
          <t>Allowances</t>
        </is>
      </c>
      <c r="B19" s="5">
        <f>B16+B17+B18</f>
        <v/>
      </c>
      <c r="C19" s="6" t="n">
        <v>522999.2</v>
      </c>
    </row>
    <row r="20">
      <c r="A20" t="inlineStr">
        <is>
          <t>Balancing charges</t>
        </is>
      </c>
      <c r="B20" s="5">
        <f>SUM(H11:H13)</f>
        <v/>
      </c>
      <c r="C20" s="6" t="n">
        <v>220</v>
      </c>
    </row>
    <row r="22">
      <c r="A22" s="1" t="inlineStr">
        <is>
          <t>Check: workings equal expected</t>
        </is>
      </c>
      <c r="B22">
        <f>AND(ROUND(B16-C16,2)=0,ROUND(B17-C17,2)=0,ROUND(B18-C18,2)=0,ROUND(B19-C19,2)=0,ROUND(B20-C20,2)=0,ROUND(B4-C4,2)=0,ROUND(C8-E8,2)=0,ROUND(F11-J11,2)=0,ROUND(G11-K11,2)=0,ROUND(H11-L11,2)=0,ROUND(I11-M11,2)=0,ROUND(F12-J12,2)=0,ROUND(G12-K12,2)=0,ROUND(H12-L12,2)=0,ROUND(I12-M12,2)=0,ROUND(F13-J13,2)=0,ROUND(G13-K13,2)=0,ROUND(H13-L13,2)=0,ROUND(I13-M13,2)=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2026-10-28T23:25:51Z</dcterms:created>
  <dcterms:modified xmlns:dcterms="http://purl.org/dc/terms/" xmlns:xsi="http://www.w3.org/2001/XMLSchema-instance" xsi:type="dcterms:W3CDTF">2026-10-28T23:25:51Z</dcterms:modified>
</cp:coreProperties>
</file>