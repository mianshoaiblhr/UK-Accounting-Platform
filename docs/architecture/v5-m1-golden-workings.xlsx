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Flag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V5-M1 golden workings: the VAT return of a synthetic quarter (DEC-090)</t>
        </is>
      </c>
    </row>
    <row r="2">
      <c r="A2" t="inlineStr"/>
    </row>
    <row r="3">
      <c r="A3" t="inlineStr">
        <is>
          <t>Period</t>
        </is>
      </c>
      <c r="B3" t="inlineStr">
        <is>
          <t>2026-01-01 to 2026-03-31 (quarters ending March, June, September, December)</t>
        </is>
      </c>
    </row>
    <row r="4">
      <c r="A4" t="inlineStr">
        <is>
          <t>Source</t>
        </is>
      </c>
      <c r="B4" t="inlineStr">
        <is>
          <t>tests/api/vat-return.test.ts; the platform's figures are in the 'Expected' column of 'Boxes'</t>
        </is>
      </c>
    </row>
    <row r="5">
      <c r="A5" t="inlineStr">
        <is>
          <t>Status</t>
        </is>
      </c>
      <c r="B5" t="inlineStr">
        <is>
          <t>FOR REVIEW by the named accountant (DEC-054 pattern). Not a real return; nothing is filed (DEC-082, DEC-086)</t>
        </is>
      </c>
    </row>
    <row r="6">
      <c r="A6" t="inlineStr">
        <is>
          <t>Rates</t>
        </is>
      </c>
      <c r="B6" t="inlineStr">
        <is>
          <t>SYNTHETIC: 20% on the test codes SX (sales: net box 6, VAT box 1) and PX (purchases: net box 7, VAT box 4), entered by one person and verified by another in the test</t>
        </is>
      </c>
    </row>
    <row r="7">
      <c r="A7" t="inlineStr">
        <is>
          <t>Yellow cells</t>
        </is>
      </c>
      <c r="B7" t="inlineStr">
        <is>
          <t>Inputs (the journal lines)</t>
        </is>
      </c>
    </row>
    <row r="8">
      <c r="A8" t="inlineStr">
        <is>
          <t>Green cells</t>
        </is>
      </c>
      <c r="B8" t="inlineStr">
        <is>
          <t>What the platform returned in the test</t>
        </is>
      </c>
    </row>
    <row r="9">
      <c r="A9" t="inlineStr">
        <is>
          <t>What to check</t>
        </is>
      </c>
      <c r="B9" t="inlineStr">
        <is>
          <t>That each box equals the formula over the lines; that the reconciliation difference is the late sale's VAT; that both flags are raised for the reason given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8" customWidth="1" min="4" max="4"/>
    <col width="16" customWidth="1" min="5" max="5"/>
    <col width="9" customWidth="1" min="6" max="6"/>
    <col width="11" customWidth="1" min="7" max="7"/>
    <col width="11" customWidth="1" min="8" max="8"/>
    <col width="8" customWidth="1" min="9" max="9"/>
    <col width="11" customWidth="1" min="10" max="10"/>
    <col width="9" customWidth="1" min="11" max="11"/>
    <col width="9" customWidth="1" min="12" max="12"/>
    <col width="14" customWidth="1" min="13" max="13"/>
    <col width="14" customWidth="1" min="14" max="14"/>
  </cols>
  <sheetData>
    <row r="1">
      <c r="A1" s="2" t="inlineStr">
        <is>
          <t>Journal</t>
        </is>
      </c>
      <c r="B1" s="2" t="inlineStr">
        <is>
          <t>Journal date</t>
        </is>
      </c>
      <c r="C1" s="2" t="inlineStr">
        <is>
          <t>Tax point</t>
        </is>
      </c>
      <c r="D1" s="2" t="inlineStr">
        <is>
          <t>Description</t>
        </is>
      </c>
      <c r="E1" s="2" t="inlineStr">
        <is>
          <t>Account</t>
        </is>
      </c>
      <c r="F1" s="2" t="inlineStr">
        <is>
          <t>VAT code</t>
        </is>
      </c>
      <c r="G1" s="2" t="inlineStr">
        <is>
          <t>Side</t>
        </is>
      </c>
      <c r="H1" s="2" t="inlineStr">
        <is>
          <t>Net</t>
        </is>
      </c>
      <c r="I1" s="2" t="inlineStr">
        <is>
          <t>Rate %</t>
        </is>
      </c>
      <c r="J1" s="2" t="inlineStr">
        <is>
          <t>VAT</t>
        </is>
      </c>
      <c r="K1" s="2" t="inlineStr">
        <is>
          <t>Net box</t>
        </is>
      </c>
      <c r="L1" s="2" t="inlineStr">
        <is>
          <t>VAT box</t>
        </is>
      </c>
      <c r="M1" s="2" t="inlineStr">
        <is>
          <t>Tax point in period</t>
        </is>
      </c>
      <c r="N1" s="2" t="inlineStr">
        <is>
          <t>Journal date in period</t>
        </is>
      </c>
    </row>
    <row r="2">
      <c r="A2" s="3" t="inlineStr">
        <is>
          <t>J1</t>
        </is>
      </c>
      <c r="B2" s="3" t="inlineStr">
        <is>
          <t>2026-02-10</t>
        </is>
      </c>
      <c r="C2" s="3" t="inlineStr">
        <is>
          <t>2026-02-10</t>
        </is>
      </c>
      <c r="D2" s="3" t="inlineStr">
        <is>
          <t>Synthetic sale</t>
        </is>
      </c>
      <c r="E2" s="3" t="inlineStr">
        <is>
          <t>4000 Sales</t>
        </is>
      </c>
      <c r="F2" s="3" t="inlineStr">
        <is>
          <t>SX</t>
        </is>
      </c>
      <c r="G2" s="3" t="inlineStr">
        <is>
          <t>SALES</t>
        </is>
      </c>
      <c r="H2" s="4" t="n">
        <v>1000</v>
      </c>
      <c r="I2" s="3" t="n">
        <v>20</v>
      </c>
      <c r="J2" s="5">
        <f>ROUND(H2*I2/100,2)</f>
        <v/>
      </c>
      <c r="K2" s="6" t="inlineStr">
        <is>
          <t>6</t>
        </is>
      </c>
      <c r="L2" s="6" t="inlineStr">
        <is>
          <t>1</t>
        </is>
      </c>
      <c r="M2" s="6">
        <f>AND(C2&gt;="2026-01-01",C2&lt;="2026-03-31")</f>
        <v/>
      </c>
      <c r="N2" s="6">
        <f>AND(B2&gt;="2026-01-01",B2&lt;="2026-03-31")</f>
        <v/>
      </c>
    </row>
    <row r="3">
      <c r="A3" s="3" t="inlineStr">
        <is>
          <t>J2</t>
        </is>
      </c>
      <c r="B3" s="3" t="inlineStr">
        <is>
          <t>2026-02-20</t>
        </is>
      </c>
      <c r="C3" s="3" t="inlineStr">
        <is>
          <t>2026-02-20</t>
        </is>
      </c>
      <c r="D3" s="3" t="inlineStr">
        <is>
          <t>Synthetic purchase</t>
        </is>
      </c>
      <c r="E3" s="3" t="inlineStr">
        <is>
          <t>6310 Expenses</t>
        </is>
      </c>
      <c r="F3" s="3" t="inlineStr">
        <is>
          <t>PX</t>
        </is>
      </c>
      <c r="G3" s="3" t="inlineStr">
        <is>
          <t>PURCHASES</t>
        </is>
      </c>
      <c r="H3" s="4" t="n">
        <v>400</v>
      </c>
      <c r="I3" s="3" t="n">
        <v>20</v>
      </c>
      <c r="J3" s="5">
        <f>ROUND(H3*I3/100,2)</f>
        <v/>
      </c>
      <c r="K3" s="6" t="inlineStr">
        <is>
          <t>7</t>
        </is>
      </c>
      <c r="L3" s="6" t="inlineStr">
        <is>
          <t>4</t>
        </is>
      </c>
      <c r="M3" s="6">
        <f>AND(C3&gt;="2026-01-01",C3&lt;="2026-03-31")</f>
        <v/>
      </c>
      <c r="N3" s="6">
        <f>AND(B3&gt;="2026-01-01",B3&lt;="2026-03-31")</f>
        <v/>
      </c>
    </row>
    <row r="4">
      <c r="A4" s="3" t="inlineStr">
        <is>
          <t>J3</t>
        </is>
      </c>
      <c r="B4" s="3" t="inlineStr">
        <is>
          <t>2026-04-05</t>
        </is>
      </c>
      <c r="C4" s="3" t="inlineStr">
        <is>
          <t>2026-03-30</t>
        </is>
      </c>
      <c r="D4" s="3" t="inlineStr">
        <is>
          <t>Synthetic sale entered after the period</t>
        </is>
      </c>
      <c r="E4" s="3" t="inlineStr">
        <is>
          <t>4000 Sales</t>
        </is>
      </c>
      <c r="F4" s="3" t="inlineStr">
        <is>
          <t>SX</t>
        </is>
      </c>
      <c r="G4" s="3" t="inlineStr">
        <is>
          <t>SALES</t>
        </is>
      </c>
      <c r="H4" s="4" t="n">
        <v>100</v>
      </c>
      <c r="I4" s="3" t="n">
        <v>20</v>
      </c>
      <c r="J4" s="5">
        <f>ROUND(H4*I4/100,2)</f>
        <v/>
      </c>
      <c r="K4" s="6" t="inlineStr">
        <is>
          <t>6</t>
        </is>
      </c>
      <c r="L4" s="6" t="inlineStr">
        <is>
          <t>1</t>
        </is>
      </c>
      <c r="M4" s="6">
        <f>AND(C4&gt;="2026-01-01",C4&lt;="2026-03-31")</f>
        <v/>
      </c>
      <c r="N4" s="6">
        <f>AND(B4&gt;="2026-01-01",B4&lt;="2026-03-31")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70" customWidth="1" min="3" max="3"/>
    <col width="14" customWidth="1" min="4" max="4"/>
    <col width="18" customWidth="1" min="5" max="5"/>
    <col width="9" customWidth="1" min="6" max="6"/>
  </cols>
  <sheetData>
    <row r="1">
      <c r="A1" s="2" t="inlineStr">
        <is>
          <t>Box</t>
        </is>
      </c>
      <c r="B1" s="2" t="inlineStr">
        <is>
          <t>What it holds</t>
        </is>
      </c>
      <c r="C1" s="2" t="inlineStr">
        <is>
          <t>Working</t>
        </is>
      </c>
      <c r="D1" s="2" t="inlineStr">
        <is>
          <t>Amount</t>
        </is>
      </c>
      <c r="E1" s="2" t="inlineStr">
        <is>
          <t>Expected (platform)</t>
        </is>
      </c>
      <c r="F1" s="2" t="inlineStr">
        <is>
          <t>Agrees</t>
        </is>
      </c>
    </row>
    <row r="2">
      <c r="A2" s="7" t="n">
        <v>1</v>
      </c>
      <c r="B2" s="7" t="inlineStr">
        <is>
          <t>VAT due on sales</t>
        </is>
      </c>
      <c r="C2" s="7" t="inlineStr">
        <is>
          <t>SUM of VAT on lines whose VAT box is 1 and tax point is in the period</t>
        </is>
      </c>
      <c r="D2" s="8">
        <f>SUMIFS(Lines!J$2:J$4,Lines!L$2:L$4,"1",Lines!M$2:M$4,TRUE)</f>
        <v/>
      </c>
      <c r="E2" s="9" t="n">
        <v>220</v>
      </c>
      <c r="F2" s="7">
        <f>ROUND(D2-E2,2)=0</f>
        <v/>
      </c>
    </row>
    <row r="3">
      <c r="A3" s="7" t="n">
        <v>2</v>
      </c>
      <c r="B3" s="7" t="inlineStr">
        <is>
          <t>VAT due on acquisitions from the EU</t>
        </is>
      </c>
      <c r="C3" s="7" t="inlineStr">
        <is>
          <t>No line maps to box 2</t>
        </is>
      </c>
      <c r="D3" s="8">
        <f>0</f>
        <v/>
      </c>
      <c r="E3" s="9" t="n">
        <v>0</v>
      </c>
      <c r="F3" s="7">
        <f>ROUND(D3-E3,2)=0</f>
        <v/>
      </c>
    </row>
    <row r="4">
      <c r="A4" s="7" t="n">
        <v>3</v>
      </c>
      <c r="B4" s="7" t="inlineStr">
        <is>
          <t>Total VAT due (box 1 + box 2)</t>
        </is>
      </c>
      <c r="C4" s="7" t="inlineStr">
        <is>
          <t>Box 1 + box 2</t>
        </is>
      </c>
      <c r="D4" s="8">
        <f>D2+D3</f>
        <v/>
      </c>
      <c r="E4" s="9" t="n">
        <v>220</v>
      </c>
      <c r="F4" s="7">
        <f>ROUND(D4-E4,2)=0</f>
        <v/>
      </c>
    </row>
    <row r="5">
      <c r="A5" s="7" t="n">
        <v>4</v>
      </c>
      <c r="B5" s="7" t="inlineStr">
        <is>
          <t>VAT reclaimed on purchases</t>
        </is>
      </c>
      <c r="C5" s="7" t="inlineStr">
        <is>
          <t>SUM of VAT on lines whose VAT box is 4 and tax point is in the period</t>
        </is>
      </c>
      <c r="D5" s="8">
        <f>SUMIFS(Lines!J$2:J$4,Lines!L$2:L$4,"4",Lines!M$2:M$4,TRUE)</f>
        <v/>
      </c>
      <c r="E5" s="9" t="n">
        <v>80</v>
      </c>
      <c r="F5" s="7">
        <f>ROUND(D5-E5,2)=0</f>
        <v/>
      </c>
    </row>
    <row r="6">
      <c r="A6" s="7" t="n">
        <v>5</v>
      </c>
      <c r="B6" s="7" t="inlineStr">
        <is>
          <t>Net VAT to pay (or reclaim)</t>
        </is>
      </c>
      <c r="C6" s="7" t="inlineStr">
        <is>
          <t>Box 3 - box 4; payable because box 3 is larger</t>
        </is>
      </c>
      <c r="D6" s="8">
        <f>ABS(D4-D5)</f>
        <v/>
      </c>
      <c r="E6" s="9" t="n">
        <v>140</v>
      </c>
      <c r="F6" s="7">
        <f>ROUND(D6-E6,2)=0</f>
        <v/>
      </c>
    </row>
    <row r="7">
      <c r="A7" s="7" t="n">
        <v>6</v>
      </c>
      <c r="B7" s="7" t="inlineStr">
        <is>
          <t>Total sales excluding VAT</t>
        </is>
      </c>
      <c r="C7" s="7" t="inlineStr">
        <is>
          <t>SUM of net on lines whose net box is 6 and tax point is in the period (exact; whole pounds are V5-M2)</t>
        </is>
      </c>
      <c r="D7" s="8">
        <f>SUMIFS(Lines!H$2:H$4,Lines!K$2:K$4,"6",Lines!M$2:M$4,TRUE)</f>
        <v/>
      </c>
      <c r="E7" s="9" t="n">
        <v>1100</v>
      </c>
      <c r="F7" s="7">
        <f>ROUND(D7-E7,2)=0</f>
        <v/>
      </c>
    </row>
    <row r="8">
      <c r="A8" s="7" t="n">
        <v>7</v>
      </c>
      <c r="B8" s="7" t="inlineStr">
        <is>
          <t>Total purchases excluding VAT</t>
        </is>
      </c>
      <c r="C8" s="7" t="inlineStr">
        <is>
          <t>SUM of net on lines whose net box is 7 and tax point is in the period</t>
        </is>
      </c>
      <c r="D8" s="8">
        <f>SUMIFS(Lines!H$2:H$4,Lines!K$2:K$4,"7",Lines!M$2:M$4,TRUE)</f>
        <v/>
      </c>
      <c r="E8" s="9" t="n">
        <v>400</v>
      </c>
      <c r="F8" s="7">
        <f>ROUND(D8-E8,2)=0</f>
        <v/>
      </c>
    </row>
    <row r="9">
      <c r="A9" s="7" t="n">
        <v>8</v>
      </c>
      <c r="B9" s="7" t="inlineStr">
        <is>
          <t>Supplies to the EU</t>
        </is>
      </c>
      <c r="C9" s="7" t="inlineStr">
        <is>
          <t>No line maps to box 8</t>
        </is>
      </c>
      <c r="D9" s="8">
        <f>0</f>
        <v/>
      </c>
      <c r="E9" s="9" t="n">
        <v>0</v>
      </c>
      <c r="F9" s="7">
        <f>ROUND(D9-E9,2)=0</f>
        <v/>
      </c>
    </row>
    <row r="10">
      <c r="A10" s="7" t="n">
        <v>9</v>
      </c>
      <c r="B10" s="7" t="inlineStr">
        <is>
          <t>Acquisitions from the EU</t>
        </is>
      </c>
      <c r="C10" s="7" t="inlineStr">
        <is>
          <t>No line maps to box 9</t>
        </is>
      </c>
      <c r="D10" s="8">
        <f>0</f>
        <v/>
      </c>
      <c r="E10" s="9" t="n">
        <v>0</v>
      </c>
      <c r="F10" s="7">
        <f>ROUND(D10-E10,2)=0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  <col width="14" customWidth="1" min="3" max="3"/>
    <col width="18" customWidth="1" min="4" max="4"/>
    <col width="9" customWidth="1" min="5" max="5"/>
  </cols>
  <sheetData>
    <row r="1">
      <c r="A1" s="2" t="inlineStr">
        <is>
          <t>Item</t>
        </is>
      </c>
      <c r="B1" s="2" t="inlineStr">
        <is>
          <t>Working</t>
        </is>
      </c>
      <c r="C1" s="2" t="inlineStr">
        <is>
          <t>Amount</t>
        </is>
      </c>
      <c r="D1" s="2" t="inlineStr">
        <is>
          <t>Expected (platform)</t>
        </is>
      </c>
      <c r="E1" s="2" t="inlineStr">
        <is>
          <t>Agrees</t>
        </is>
      </c>
    </row>
    <row r="2">
      <c r="A2" s="7" t="inlineStr">
        <is>
          <t>Movement on the VAT accounts by journal date</t>
        </is>
      </c>
      <c r="B2" s="7" t="inlineStr">
        <is>
          <t>SUMIFS of VAT (credit-positive: sales +, purchases -) on lines dated in the period</t>
        </is>
      </c>
      <c r="C2" s="8">
        <f>SUMIFS(Lines!J$2:J$4,Lines!G$2:G$4,"SALES",Lines!N$2:N$4,TRUE)-SUMIFS(Lines!J$2:J$4,Lines!G$2:G$4,"PURCHASES",Lines!N$2:N$4,TRUE)</f>
        <v/>
      </c>
      <c r="D2" s="9" t="n">
        <v>120</v>
      </c>
      <c r="E2" s="7">
        <f>ROUND(C2-D2,2)=0</f>
        <v/>
      </c>
    </row>
    <row r="3">
      <c r="A3" s="7" t="inlineStr">
        <is>
          <t>VAT lines by tax point</t>
        </is>
      </c>
      <c r="B3" s="7" t="inlineStr">
        <is>
          <t>The same, on lines whose tax point is in the period</t>
        </is>
      </c>
      <c r="C3" s="8">
        <f>SUMIFS(Lines!J$2:J$4,Lines!G$2:G$4,"SALES",Lines!M$2:M$4,TRUE)-SUMIFS(Lines!J$2:J$4,Lines!G$2:G$4,"PURCHASES",Lines!M$2:M$4,TRUE)</f>
        <v/>
      </c>
      <c r="D3" s="9" t="n">
        <v>140</v>
      </c>
      <c r="E3" s="7">
        <f>ROUND(C3-D3,2)=0</f>
        <v/>
      </c>
    </row>
    <row r="4">
      <c r="A4" s="7" t="inlineStr">
        <is>
          <t>Difference</t>
        </is>
      </c>
      <c r="B4" s="7" t="inlineStr">
        <is>
          <t>Movement - VAT lines: the VAT of J3, dated after the period with a tax point inside it</t>
        </is>
      </c>
      <c r="C4" s="8">
        <f>C2-C3</f>
        <v/>
      </c>
      <c r="D4" s="9" t="n">
        <v>-20</v>
      </c>
      <c r="E4" s="7">
        <f>ROUND(C4-D4,2)=0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0" customWidth="1" min="3" max="3"/>
    <col width="60" customWidth="1" min="4" max="4"/>
  </cols>
  <sheetData>
    <row r="1">
      <c r="A1" s="2" t="inlineStr">
        <is>
          <t>Flag key</t>
        </is>
      </c>
      <c r="B1" s="2" t="inlineStr">
        <is>
          <t>Raised?</t>
        </is>
      </c>
      <c r="C1" s="2" t="inlineStr">
        <is>
          <t>Why</t>
        </is>
      </c>
      <c r="D1" s="2" t="inlineStr">
        <is>
          <t>Explained in the test as</t>
        </is>
      </c>
    </row>
    <row r="2">
      <c r="A2" s="7" t="inlineStr">
        <is>
          <t>reconciliation_difference</t>
        </is>
      </c>
      <c r="B2" s="7" t="inlineStr">
        <is>
          <t>Yes</t>
        </is>
      </c>
      <c r="C2" s="7" t="inlineStr">
        <is>
          <t>The difference on 'Reconciliation' is not zero (-20.00)</t>
        </is>
      </c>
      <c r="D2" s="7" t="inlineStr">
        <is>
          <t>The sale was invoiced in March and entered in April (synthetic)</t>
        </is>
      </c>
    </row>
    <row r="3">
      <c r="A3" s="7" t="inlineStr">
        <is>
          <t>late_posting:{J3}:{VAT line}</t>
        </is>
      </c>
      <c r="B3" s="7" t="inlineStr">
        <is>
          <t>Yes</t>
        </is>
      </c>
      <c r="C3" s="7" t="inlineStr">
        <is>
          <t>J3 is dated 2026-04-05, after the period, with a tax point (2026-03-30) inside it</t>
        </is>
      </c>
      <c r="D3" s="7" t="inlineStr">
        <is>
          <t>The sale was invoiced in March and entered in April (synthetic)</t>
        </is>
      </c>
    </row>
    <row r="4">
      <c r="A4" s="7" t="inlineStr">
        <is>
          <t>superseded_rate:{rateId}</t>
        </is>
      </c>
      <c r="B4" s="7" t="inlineStr">
        <is>
          <t>No</t>
        </is>
      </c>
      <c r="C4" s="7" t="inlineStr">
        <is>
          <t>Neither rate version has been superseded</t>
        </is>
      </c>
      <c r="D4" s="7" t="inlineStr"/>
    </row>
    <row r="5">
      <c r="A5" s="7" t="inlineStr">
        <is>
          <t>repayment</t>
        </is>
      </c>
      <c r="B5" s="7" t="inlineStr">
        <is>
          <t>No</t>
        </is>
      </c>
      <c r="C5" s="7" t="inlineStr">
        <is>
          <t>Box 4 (80.00) is not more than boxes 1 and 2 (220.00)</t>
        </is>
      </c>
      <c r="D5" s="7" t="inlineStr"/>
    </row>
    <row r="6">
      <c r="A6" s="7" t="inlineStr">
        <is>
          <t>zero_return</t>
        </is>
      </c>
      <c r="B6" s="7" t="inlineStr">
        <is>
          <t>No</t>
        </is>
      </c>
      <c r="C6" s="7" t="inlineStr">
        <is>
          <t>Boxes are not all zero</t>
        </is>
      </c>
      <c r="D6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80" customWidth="1" min="3" max="3"/>
  </cols>
  <sheetData>
    <row r="1">
      <c r="A1" s="2" t="inlineStr">
        <is>
          <t>Step</t>
        </is>
      </c>
      <c r="B1" s="2" t="inlineStr">
        <is>
          <t>Who (test role)</t>
        </is>
      </c>
      <c r="C1" s="2" t="inlineStr">
        <is>
          <t>Result in the platform</t>
        </is>
      </c>
    </row>
    <row r="2">
      <c r="A2" s="7" t="inlineStr">
        <is>
          <t>Open the return (date 2026-02-15)</t>
        </is>
      </c>
      <c r="B2" s="7" t="inlineStr">
        <is>
          <t>Accountant (vat:prepare)</t>
        </is>
      </c>
      <c r="C2" s="7" t="inlineStr">
        <is>
          <t>Period 2026-01-01 to 2026-03-31; linked to the VAT obligation; DRAFT</t>
        </is>
      </c>
    </row>
    <row r="3">
      <c r="A3" s="7" t="inlineStr">
        <is>
          <t>Prepare</t>
        </is>
      </c>
      <c r="B3" s="7" t="inlineStr">
        <is>
          <t>Accountant</t>
        </is>
      </c>
      <c r="C3" s="7" t="inlineStr">
        <is>
          <t>PREPARED on the fingerprint of J1 and J2</t>
        </is>
      </c>
    </row>
    <row r="4">
      <c r="A4" s="7" t="inlineStr">
        <is>
          <t>Post J3 (dated 5 April, tax point 30 March)</t>
        </is>
      </c>
      <c r="B4" s="7" t="inlineStr">
        <is>
          <t>Accountant</t>
        </is>
      </c>
      <c r="C4" s="7" t="inlineStr">
        <is>
          <t>Fingerprint changes; the preparation lapses (DRAFT); two flags raised</t>
        </is>
      </c>
    </row>
    <row r="5">
      <c r="A5" s="7" t="inlineStr">
        <is>
          <t>Prepare again; explain both flags</t>
        </is>
      </c>
      <c r="B5" s="7" t="inlineStr">
        <is>
          <t>Accountant</t>
        </is>
      </c>
      <c r="C5" s="7" t="inlineStr">
        <is>
          <t>PREPARED; no unexplained flag</t>
        </is>
      </c>
    </row>
    <row r="6">
      <c r="A6" s="7" t="inlineStr">
        <is>
          <t>Review</t>
        </is>
      </c>
      <c r="B6" s="7" t="inlineStr">
        <is>
          <t>Partner (vat:review), not the preparer</t>
        </is>
      </c>
      <c r="C6" s="7" t="inlineStr">
        <is>
          <t>REVIEWED</t>
        </is>
      </c>
    </row>
    <row r="7">
      <c r="A7" s="7" t="inlineStr">
        <is>
          <t>Client approval (2026-04-20, director contact, signed approval scanned clean)</t>
        </is>
      </c>
      <c r="B7" s="7" t="inlineStr">
        <is>
          <t>Partner (vat:review and period:lock)</t>
        </is>
      </c>
      <c r="C7" s="7" t="inlineStr">
        <is>
          <t>APPROVED; return frozen; period locked; obligation READY</t>
        </is>
      </c>
    </row>
    <row r="8">
      <c r="A8" s="7" t="inlineStr">
        <is>
          <t>Post a sale with tax point 2026-03-15</t>
        </is>
      </c>
      <c r="B8" s="7" t="inlineStr">
        <is>
          <t>Accountant</t>
        </is>
      </c>
      <c r="C8" s="7" t="inlineStr">
        <is>
          <t>Refused: vat_period_locked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70" customWidth="1" min="4" max="4"/>
  </cols>
  <sheetData>
    <row r="1">
      <c r="A1" s="2" t="inlineStr">
        <is>
          <t>Reviewer</t>
        </is>
      </c>
      <c r="B1" s="2" t="inlineStr">
        <is>
          <t>Date</t>
        </is>
      </c>
      <c r="C1" s="2" t="inlineStr">
        <is>
          <t>Agrees (yes/no)</t>
        </is>
      </c>
      <c r="D1" s="2" t="inlineStr">
        <is>
          <t>Notes</t>
        </is>
      </c>
    </row>
    <row r="2">
      <c r="A2" s="6" t="n"/>
      <c r="B2" s="6" t="n"/>
      <c r="C2" s="6" t="n"/>
      <c r="D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2026-10-27T22:58:21Z</dcterms:created>
  <dcterms:modified xmlns:dcterms="http://purl.org/dc/terms/" xmlns:xsi="http://www.w3.org/2001/XMLSchema-instance" xsi:type="dcterms:W3CDTF">2026-10-27T22:58:21Z</dcterms:modified>
</cp:coreProperties>
</file>