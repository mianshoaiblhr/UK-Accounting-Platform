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ummary" sheetId="1" state="visible" r:id="rId3"/>
    <sheet name="Findings" sheetId="2" state="visible" r:id="rId4"/>
    <sheet name="Goldens" sheetId="3" state="visible" r:id="rId5"/>
    <sheet name="Invariants" sheetId="4" state="visible" r:id="rId6"/>
    <sheet name="Thresholds" sheetId="5" state="visible" r:id="rId7"/>
    <sheet name="Wording refs" sheetId="6" state="visible" r:id="rId8"/>
    <sheet name="Matrix"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<sst xmlns="http://schemas.openxmlformats.org/spreadsheetml/2006/main" count="734" uniqueCount="377">
  <si>
    <t xml:space="preserve">V2 data check by engineering (DEC-072) - a REVIEW, not verification (DEC-052)</t>
  </si>
  <si>
    <t xml:space="preserve">Asked by the product owner on 2026-10-21: "Check data yourself". Engineering wrote this data, so this check cannot verify it: only a second person holding accounts:rule-verify verifies, in the platform (DEC-052, DEC-056). It finds what needs fixing before that.</t>
  </si>
  <si>
    <t xml:space="preserve">Goldens: 11 generators re-run, 855 checks, 0 differing.</t>
  </si>
  <si>
    <t xml:space="preserve">Invariants: 44 hand-written journals, 0 unbalanced; the V2-M1 statements recomputed in 10 formula lines (both years) and 6 cross-checks, all agreeing.</t>
  </si>
  <si>
    <t xml:space="preserve">Matrix evidence: 610 paths in the V1 and V2 matrices, 0 missing.</t>
  </si>
  <si>
    <t xml:space="preserve">Thresholds: 23 items confirmed against reachable sources, 2 to check, 1 limitation.</t>
  </si>
  <si>
    <t xml:space="preserve">Wording references: 29 rows; 1 finding, 6 to check, the rest consistent with the provision cited.</t>
  </si>
  <si>
    <t xml:space="preserve">Sources: legislation.gov.uk could not be reached from the build environment (DNS refused), nor could the professional bodies' pages directly. The thresholds were checked through web search results summarising ACCA, ICAEW and PwC guidance; the links are on each row. The statute links are to legislation.gov.uk for the verifier.</t>
  </si>
  <si>
    <t xml:space="preserve">Case law: none is relied on; the thresholds and statements are statutory, and no case was found or needed for these points.</t>
  </si>
  <si>
    <t xml:space="preserve">Nothing here changes data in the platform. The findings go to the named accountant; content changes follow the DEC-064 pattern (a new draft, imported UNVERIFIED, verified by a second person).</t>
  </si>
  <si>
    <t xml:space="preserve">#</t>
  </si>
  <si>
    <t xml:space="preserve">Status</t>
  </si>
  <si>
    <t xml:space="preserve">Item</t>
  </si>
  <si>
    <t xml:space="preserve">What</t>
  </si>
  <si>
    <t xml:space="preserve">Who</t>
  </si>
  <si>
    <t xml:space="preserve">Action</t>
  </si>
  <si>
    <t xml:space="preserve">F1</t>
  </si>
  <si>
    <t xml:space="preserve">FINDING</t>
  </si>
  <si>
    <t xml:space="preserve">NOTE.CREDLONG (FRS 102 1A pack)</t>
  </si>
  <si>
    <t xml:space="preserve">The wording discloses creditors after more than one year, but the requirement it cites is debts payable after more than five years and secured debts.</t>
  </si>
  <si>
    <t xml:space="preserve">Shoaib (content); engineering adds the facts</t>
  </si>
  <si>
    <t xml:space="preserve">Reword the body; add facts for debts after five years and for secured debts; re-run the wording review.</t>
  </si>
  <si>
    <t xml:space="preserve">F2</t>
  </si>
  <si>
    <t xml:space="preserve">CHECK</t>
  </si>
  <si>
    <t xml:space="preserve">NOTE.EMPLOYEES (both packs)</t>
  </si>
  <si>
    <t xml:space="preserve">"(including directors)" is true only where directors have contracts of service.</t>
  </si>
  <si>
    <t xml:space="preserve">Shoaib (content)</t>
  </si>
  <si>
    <t xml:space="preserve">Remove the bracket or make it a fact.</t>
  </si>
  <si>
    <t xml:space="preserve">F3</t>
  </si>
  <si>
    <t xml:space="preserve">POL.FININST (FRS 102 1A pack)</t>
  </si>
  <si>
    <t xml:space="preserve">The policy asserts only basic financial instruments for every client.</t>
  </si>
  <si>
    <t xml:space="preserve">Make it conditional or a confirmed fact.</t>
  </si>
  <si>
    <t xml:space="preserve">F4</t>
  </si>
  <si>
    <t xml:space="preserve">BSS.MICRO, POL.COMPLIANCE</t>
  </si>
  <si>
    <t xml:space="preserve">The provision cited for the micro-entity statement and the FRS 102 paragraph for the compliance statement need confirming against the text.</t>
  </si>
  <si>
    <t xml:space="preserve">Confirm and correct the citations before verifying.</t>
  </si>
  <si>
    <t xml:space="preserve">F5</t>
  </si>
  <si>
    <t xml:space="preserve">Directors' report (FRS 102 1A pack)</t>
  </si>
  <si>
    <t xml:space="preserve">No wording for political donations and expenditure over £2,000 (Sch 7).</t>
  </si>
  <si>
    <t xml:space="preserve">Add conditional wording or a fact if the firm wants the pack to cover it.</t>
  </si>
  <si>
    <t xml:space="preserve">F6</t>
  </si>
  <si>
    <t xml:space="preserve">NOT CONFIRMED</t>
  </si>
  <si>
    <t xml:space="preserve">2016 threshold set: priorYearOnFirst</t>
  </si>
  <si>
    <t xml:space="preserve">The SI 2015/980 transitional treatment could not be confirmed from any reachable source; early adoption from 1 January 2015 is not modelled.</t>
  </si>
  <si>
    <t xml:space="preserve">Shoaib (verification)</t>
  </si>
  <si>
    <t xml:space="preserve">Confirm against SI 2015/980 or set it to false; it matters only for years beginning in 2016.</t>
  </si>
  <si>
    <t xml:space="preserve">F7</t>
  </si>
  <si>
    <t xml:space="preserve">Balance sheet total in the size test</t>
  </si>
  <si>
    <t xml:space="preserve">Gross assets are the sum of the version's debit-side lines; a line netting a credit would understate them.</t>
  </si>
  <si>
    <t xml:space="preserve">Shoaib with engineering</t>
  </si>
  <si>
    <t xml:space="preserve">Check the verified version's lines hold only assets; engineering can add a validation if wanted.</t>
  </si>
  <si>
    <t xml:space="preserve">F8</t>
  </si>
  <si>
    <t xml:space="preserve">LIMITATION</t>
  </si>
  <si>
    <t xml:space="preserve">Groups and LLPs</t>
  </si>
  <si>
    <t xml:space="preserve">Group thresholds and LLP regulations are not modelled; the size test says so.</t>
  </si>
  <si>
    <t xml:space="preserve">Product owner</t>
  </si>
  <si>
    <t xml:space="preserve">Decide whether V2 needs them.</t>
  </si>
  <si>
    <t xml:space="preserve">-</t>
  </si>
  <si>
    <t xml:space="preserve">CONFIRMED</t>
  </si>
  <si>
    <t xml:space="preserve">The nine 2025 limits, the nine 2016 limits, the 6 April 2025 commencement with no early adoption, the 2025 transitional rule, two of three conditions, "not more than", the turnover adjustment</t>
  </si>
  <si>
    <t xml:space="preserve">Agree with the statute as summarised by ACCA, ICAEW and PwC.</t>
  </si>
  <si>
    <t xml:space="preserve">Still to be verified in the platform by a second person (DEC-052).</t>
  </si>
  <si>
    <t xml:space="preserve">OK</t>
  </si>
  <si>
    <t xml:space="preserve">All 11 golden workbooks; 44 hand-written journals; the V2-M1 statements in both layouts; 610 matrix evidence paths</t>
  </si>
  <si>
    <t xml:space="preserve">No difference found.</t>
  </si>
  <si>
    <t xml:space="preserve">Generator</t>
  </si>
  <si>
    <t xml:space="preserve">Checks</t>
  </si>
  <si>
    <t xml:space="preserve">Differences</t>
  </si>
  <si>
    <t xml:space="preserve">Result</t>
  </si>
  <si>
    <t xml:space="preserve">gen_v2_golden_workbook.py</t>
  </si>
  <si>
    <t xml:space="preserve">gen_v2m2_golden_workbook.py</t>
  </si>
  <si>
    <t xml:space="preserve">gen_v2m3a_golden_workbook.py</t>
  </si>
  <si>
    <t xml:space="preserve">gen_v2m3b_golden_workbook.py</t>
  </si>
  <si>
    <t xml:space="preserve">gen_v2m4_golden_workbook.py</t>
  </si>
  <si>
    <t xml:space="preserve">gen_v2m5a_golden_workbook.py</t>
  </si>
  <si>
    <t xml:space="preserve">gen_v2m5b_golden_workbook.py</t>
  </si>
  <si>
    <t xml:space="preserve">gen_v2m5c_golden_workbook.py</t>
  </si>
  <si>
    <t xml:space="preserve">gen_v2m6a_golden_workbook.py</t>
  </si>
  <si>
    <t xml:space="preserve">gen_v2m6b_golden_workbook.py</t>
  </si>
  <si>
    <t xml:space="preserve">gen_v2m6c_golden_workbook.py</t>
  </si>
  <si>
    <t xml:space="preserve">Hand-written journals in each golden balance (debits = credits)</t>
  </si>
  <si>
    <t xml:space="preserve">Golden</t>
  </si>
  <si>
    <t xml:space="preserve">Journals</t>
  </si>
  <si>
    <t xml:space="preserve">Unbalanced</t>
  </si>
  <si>
    <t xml:space="preserve">Check</t>
  </si>
  <si>
    <t xml:space="preserve">v2-m1-micro-synthetic.json</t>
  </si>
  <si>
    <t xml:space="preserve">v2-m2-fixed-assets.json</t>
  </si>
  <si>
    <t xml:space="preserve">v2-m3a-adjustments.json</t>
  </si>
  <si>
    <t xml:space="preserve">v2-m3b-close.json</t>
  </si>
  <si>
    <t xml:space="preserve">v2-m4-directors.json</t>
  </si>
  <si>
    <t xml:space="preserve">v2-m5a-document.json</t>
  </si>
  <si>
    <t xml:space="preserve">v2-m5b-size.json</t>
  </si>
  <si>
    <t xml:space="preserve">v2-m5c-cash-flow.json</t>
  </si>
  <si>
    <t xml:space="preserve">v2-m6a-review.json</t>
  </si>
  <si>
    <t xml:space="preserve">v2-m6b-workflow.json</t>
  </si>
  <si>
    <t xml:space="preserve">v2-m6c-approval.json</t>
  </si>
  <si>
    <t xml:space="preserve">V2-M1 golden statements recomputed (micro layout and the alternative layout): column B/C are the golden's figures, D/E recompute them with formulas, F checks</t>
  </si>
  <si>
    <t xml:space="preserve">Line</t>
  </si>
  <si>
    <t xml:space="preserve">Golden 2026</t>
  </si>
  <si>
    <t xml:space="preserve">Golden 2025</t>
  </si>
  <si>
    <t xml:space="preserve">Recomputed 2026</t>
  </si>
  <si>
    <t xml:space="preserve">Recomputed 2025</t>
  </si>
  <si>
    <t xml:space="preserve">P.T</t>
  </si>
  <si>
    <t xml:space="preserve">P.OI</t>
  </si>
  <si>
    <t xml:space="preserve">P.RM</t>
  </si>
  <si>
    <t xml:space="preserve">P.DEP</t>
  </si>
  <si>
    <t xml:space="preserve">P.OC</t>
  </si>
  <si>
    <t xml:space="preserve">P.TAX</t>
  </si>
  <si>
    <t xml:space="preserve">P.PROFIT</t>
  </si>
  <si>
    <t xml:space="preserve">B.FA</t>
  </si>
  <si>
    <t xml:space="preserve">B.CA</t>
  </si>
  <si>
    <t xml:space="preserve">B.PREPAY</t>
  </si>
  <si>
    <t xml:space="preserve">B.CW</t>
  </si>
  <si>
    <t xml:space="preserve">B.NCA</t>
  </si>
  <si>
    <t xml:space="preserve">B.TALCL</t>
  </si>
  <si>
    <t xml:space="preserve">B.CA1</t>
  </si>
  <si>
    <t xml:space="preserve">B.ACCR</t>
  </si>
  <si>
    <t xml:space="preserve">B.NA</t>
  </si>
  <si>
    <t xml:space="preserve">B.SC</t>
  </si>
  <si>
    <t xml:space="preserve">B.RES</t>
  </si>
  <si>
    <t xml:space="preserve">B.PLR</t>
  </si>
  <si>
    <t xml:space="preserve">B.CR</t>
  </si>
  <si>
    <t xml:space="preserve">A.TURN</t>
  </si>
  <si>
    <t xml:space="preserve">A.COS</t>
  </si>
  <si>
    <t xml:space="preserve">A.GP</t>
  </si>
  <si>
    <t xml:space="preserve">A.ADMIN</t>
  </si>
  <si>
    <t xml:space="preserve">A.OOI</t>
  </si>
  <si>
    <t xml:space="preserve">A.OP</t>
  </si>
  <si>
    <t xml:space="preserve">A.INT</t>
  </si>
  <si>
    <t xml:space="preserve">A.PBT</t>
  </si>
  <si>
    <t xml:space="preserve">A.TAX</t>
  </si>
  <si>
    <t xml:space="preserve">A.PAT</t>
  </si>
  <si>
    <t xml:space="preserve">A.TFA</t>
  </si>
  <si>
    <t xml:space="preserve">A.STOCK</t>
  </si>
  <si>
    <t xml:space="preserve">A.DEBT</t>
  </si>
  <si>
    <t xml:space="preserve">A.CASH</t>
  </si>
  <si>
    <t xml:space="preserve">A.CRED1</t>
  </si>
  <si>
    <t xml:space="preserve">A.CRED2</t>
  </si>
  <si>
    <t xml:space="preserve">A.NA</t>
  </si>
  <si>
    <t xml:space="preserve">A.EQ</t>
  </si>
  <si>
    <t xml:space="preserve">A.RP</t>
  </si>
  <si>
    <t xml:space="preserve">A.TE</t>
  </si>
  <si>
    <t xml:space="preserve">Cross-checks (difference must be 0)</t>
  </si>
  <si>
    <t xml:space="preserve">2026</t>
  </si>
  <si>
    <t xml:space="preserve">2025</t>
  </si>
  <si>
    <t xml:space="preserve">Profit: micro layout = alternative layout</t>
  </si>
  <si>
    <t xml:space="preserve">Net assets: micro layout = alternative layout</t>
  </si>
  <si>
    <t xml:space="preserve">Net assets = capital and reserves (micro)</t>
  </si>
  <si>
    <t xml:space="preserve">Current assets (micro) = stock + debtors + cash (alternative) less the prepayment shown separately</t>
  </si>
  <si>
    <t xml:space="preserve">Creditors within one year: alternative = micro + accruals shown separately</t>
  </si>
  <si>
    <t xml:space="preserve">Profit and loss reserve moves by the year's profit</t>
  </si>
  <si>
    <t xml:space="preserve">Effective from</t>
  </si>
  <si>
    <t xml:space="preserve">Class</t>
  </si>
  <si>
    <t xml:space="preserve">Condition</t>
  </si>
  <si>
    <t xml:space="preserve">Draft value</t>
  </si>
  <si>
    <t xml:space="preserve">Statute</t>
  </si>
  <si>
    <t xml:space="preserve">Statute link</t>
  </si>
  <si>
    <t xml:space="preserve">Evidence</t>
  </si>
  <si>
    <t xml:space="preserve">Source found</t>
  </si>
  <si>
    <t xml:space="preserve">Instrument</t>
  </si>
  <si>
    <t xml:space="preserve">2016-01-01</t>
  </si>
  <si>
    <t xml:space="preserve">MICRO</t>
  </si>
  <si>
    <t xml:space="preserve">Turnover not more than</t>
  </si>
  <si>
    <t xml:space="preserve">632000.00</t>
  </si>
  <si>
    <t xml:space="preserve">s.384A</t>
  </si>
  <si>
    <t xml:space="preserve">https://www.legislation.gov.uk/ukpga/2006/46/section/384A</t>
  </si>
  <si>
    <t xml:space="preserve">The secondary sources found agree (ACCA 2015, ICAEW, firm summaries of SI 2015/980)</t>
  </si>
  <si>
    <t xml:space="preserve">https://www.accaglobal.com/gb/en/technical-activities/technical-resources-search/2015/march/thresholds.html</t>
  </si>
  <si>
    <t xml:space="preserve">https://www.legislation.gov.uk/uksi/2015/980/contents</t>
  </si>
  <si>
    <t xml:space="preserve">Balance sheet total not more than</t>
  </si>
  <si>
    <t xml:space="preserve">316000.00</t>
  </si>
  <si>
    <t xml:space="preserve">Employees not more than</t>
  </si>
  <si>
    <t xml:space="preserve">SMALL</t>
  </si>
  <si>
    <t xml:space="preserve">10200000.00</t>
  </si>
  <si>
    <t xml:space="preserve">s.382</t>
  </si>
  <si>
    <t xml:space="preserve">https://www.legislation.gov.uk/ukpga/2006/46/section/382</t>
  </si>
  <si>
    <t xml:space="preserve">5100000.00</t>
  </si>
  <si>
    <t xml:space="preserve">MEDIUM</t>
  </si>
  <si>
    <t xml:space="preserve">36000000.00</t>
  </si>
  <si>
    <t xml:space="preserve">s.465</t>
  </si>
  <si>
    <t xml:space="preserve">https://www.legislation.gov.uk/ukpga/2006/46/section/465</t>
  </si>
  <si>
    <t xml:space="preserve">18000000.00</t>
  </si>
  <si>
    <t xml:space="preserve">2025-04-06</t>
  </si>
  <si>
    <t xml:space="preserve">1000000.00</t>
  </si>
  <si>
    <t xml:space="preserve">The secondary sources found agree (ACCA, ICAEW, PwC summaries of SI 2024/1303)</t>
  </si>
  <si>
    <t xml:space="preserve">https://www.accaglobal.com/gb/en/technical-activities/uk-tech/in-practice-ezine-archive/In-Practice-archive-2025/January/Company-size-thresholds-increasing.html</t>
  </si>
  <si>
    <t xml:space="preserve">https://www.legislation.gov.uk/uksi/2024/1303/contents</t>
  </si>
  <si>
    <t xml:space="preserve">500000.00</t>
  </si>
  <si>
    <t xml:space="preserve">15000000.00</t>
  </si>
  <si>
    <t xml:space="preserve">7500000.00</t>
  </si>
  <si>
    <t xml:space="preserve">54000000.00</t>
  </si>
  <si>
    <t xml:space="preserve">27000000.00</t>
  </si>
  <si>
    <t xml:space="preserve">all</t>
  </si>
  <si>
    <t xml:space="preserve">Commencement: financial years beginning on or after 6 April 2025; no early adoption</t>
  </si>
  <si>
    <t xml:space="preserve">effectiveFrom 2025-04-06; 2016 set effectiveTo 2025-04-05</t>
  </si>
  <si>
    <t xml:space="preserve">SI 2024/1303</t>
  </si>
  <si>
    <t xml:space="preserve">ICAEW and firm summaries: the new thresholds apply to years beginning on or after 6 April 2025 and cannot be adopted early</t>
  </si>
  <si>
    <t xml:space="preserve">https://www.icaew.com/insights/viewpoints-on-the-news/2024/dec-2024/uk-company-size-thresholds-to-increase-from-april-2025</t>
  </si>
  <si>
    <t xml:space="preserve">Transitional: the new thresholds treated as applying to the previous year when testing the first year they govern</t>
  </si>
  <si>
    <t xml:space="preserve">priorYearOnFirst = true</t>
  </si>
  <si>
    <t xml:space="preserve">Secondary sources describe this provision (in slightly different words); the regulation text itself could not be retrieved</t>
  </si>
  <si>
    <t xml:space="preserve">https://viewpoint.pwc.com/dt/uk/en/pwc/uk_in_briefs/PwC-UK-in-briefs/PwC-UK-in-briefs/changes-to-company-size-thresholds.html</t>
  </si>
  <si>
    <t xml:space="preserve">Transitional of SI 2015/980 (the same treatment for the first year from 2016)</t>
  </si>
  <si>
    <t xml:space="preserve">SI 2015/980</t>
  </si>
  <si>
    <t xml:space="preserve">No reachable source states it; the 2015 regulations also allowed early adoption for years from 1 January 2015, which the draft does not model</t>
  </si>
  <si>
    <t xml:space="preserve">Two of the three conditions; met in two consecutive years (first year: that year)</t>
  </si>
  <si>
    <t xml:space="preserve">conditionsMet (2 of 3); twoYearStatus</t>
  </si>
  <si>
    <t xml:space="preserve">s.382(1)-(2), s.384A(1)-(3), s.465</t>
  </si>
  <si>
    <t xml:space="preserve">ICAEW: "met for a financial year if any two of the three thresholds are met"; the two-year rule is described by every source</t>
  </si>
  <si>
    <t xml:space="preserve">https://www.icaew.com/technical/financial-reporting/uk-regulation-for-company-accounts/size-of-a-company</t>
  </si>
  <si>
    <t xml:space="preserve">"Not more than": a figure exactly at the limit qualifies</t>
  </si>
  <si>
    <t xml:space="preserve">size-test.ts compares with &lt;= (lessThanOrEqualTo)</t>
  </si>
  <si>
    <t xml:space="preserve">s.382(3) table</t>
  </si>
  <si>
    <t xml:space="preserve">The statute's table reads "Not more than"; the code uses &lt;= for all three conditions</t>
  </si>
  <si>
    <t xml:space="preserve">Turnover limit adjusted proportionately for a year that is not twelve months</t>
  </si>
  <si>
    <t xml:space="preserve">turnoverWithin: turnover x days-in-12-months &lt;= limit x days</t>
  </si>
  <si>
    <t xml:space="preserve">s.382(4)</t>
  </si>
  <si>
    <t xml:space="preserve">Engineering's reading of s.382(4); the V2-M5b golden tests an 18-month year</t>
  </si>
  <si>
    <t xml:space="preserve">Balance sheet total = the aggregate of the assets shown in the balance sheet (gross)</t>
  </si>
  <si>
    <t xml:space="preserve">sum of the version's debit-side balance sheet lines</t>
  </si>
  <si>
    <t xml:space="preserve">s.382(5)</t>
  </si>
  <si>
    <t xml:space="preserve">Gross assets are right only if every asset line holds assets: a line that nets a credit (for example an overdraft netted into cash) would understate the total. The verifier checks the version's lines</t>
  </si>
  <si>
    <t xml:space="preserve">Groups (s.383, s.466) and LLPs (their own regulations)</t>
  </si>
  <si>
    <t xml:space="preserve">not modelled; the size test says groups are not tested</t>
  </si>
  <si>
    <t xml:space="preserve">s.383, s.466</t>
  </si>
  <si>
    <t xml:space="preserve">https://www.legislation.gov.uk/ukpga/2006/46/section/383</t>
  </si>
  <si>
    <t xml:space="preserve">ACCA lists group limits (for example small group £18m net / £9m net from 2025); a parent company is outside what the test covers</t>
  </si>
  <si>
    <t xml:space="preserve">Pack</t>
  </si>
  <si>
    <t xml:space="preserve">Rule</t>
  </si>
  <si>
    <t xml:space="preserve">Title</t>
  </si>
  <si>
    <t xml:space="preserve">Applies to</t>
  </si>
  <si>
    <t xml:space="preserve">Wording (first 300 characters)</t>
  </si>
  <si>
    <t xml:space="preserve">Reference in the pack</t>
  </si>
  <si>
    <t xml:space="preserve">Assessment</t>
  </si>
  <si>
    <t xml:space="preserve">Statute links</t>
  </si>
  <si>
    <t xml:space="preserve">frs105-micro</t>
  </si>
  <si>
    <t xml:space="preserve">NOTE.EMPLOYEES</t>
  </si>
  <si>
    <t xml:space="preserve">Employees</t>
  </si>
  <si>
    <t xml:space="preserve">The average number of persons employed by the company (including directors) during the year was {{fact:employees.average}} ({{year:priorEnd}}: {{fact:employees.averagePrior}}).</t>
  </si>
  <si>
    <t xml:space="preserve">Companies Act 2006 s.411 (average number of employees), as applied to micro-entities</t>
  </si>
  <si>
    <t xml:space="preserve">The average number of persons employed is right (s.411(1)). "(including directors)" is true only for directors employed under contracts of service (s.411(5)-(6)); a director without one is not counted. Suggest wording without the bracket, or a fact saying whether directors are included.</t>
  </si>
  <si>
    <t xml:space="preserve">https://www.legislation.gov.uk/ukpga/2006/46/section/411</t>
  </si>
  <si>
    <t xml:space="preserve">NOTE.ADV</t>
  </si>
  <si>
    <t xml:space="preserve">Advances, credits and guarantees granted to directors</t>
  </si>
  <si>
    <t xml:space="preserve">{{table:directors.advances}}
{{fact:text.directorAdvanceTerms}}</t>
  </si>
  <si>
    <t xml:space="preserve">Companies Act 2006 s.413</t>
  </si>
  <si>
    <t xml:space="preserve">s.413 requires advances and credits granted to directors and guarantees on their behalf, with the main terms; the table and a terms fact cover it.</t>
  </si>
  <si>
    <t xml:space="preserve">https://www.legislation.gov.uk/ukpga/2006/46/section/413</t>
  </si>
  <si>
    <t xml:space="preserve">NOTE.COMMIT</t>
  </si>
  <si>
    <t xml:space="preserve">Financial commitments, guarantees and contingencies</t>
  </si>
  <si>
    <t xml:space="preserve">{{fact:text.commitments}}</t>
  </si>
  <si>
    <t xml:space="preserve">SI 2008/409 Sch 1 (micro-entity notes: financial commitments, guarantees and contingencies)</t>
  </si>
  <si>
    <t xml:space="preserve">Financial commitments, guarantees and contingencies not in the balance sheet are a required note for small and micro companies (SI 2008/409 Sch 1).</t>
  </si>
  <si>
    <t xml:space="preserve">https://www.legislation.gov.uk/uksi/2008/409/schedule/1</t>
  </si>
  <si>
    <t xml:space="preserve">BSS.AUDIT</t>
  </si>
  <si>
    <t xml:space="preserve">Audit exemption</t>
  </si>
  <si>
    <t xml:space="preserve">For the year ending {{year:end}} the company was entitled to exemption from audit under section 477 of the Companies Act 2006 relating to small companies.
The members have not required the company to obtain an audit of its accounts for the year in question in accordance with section 476.
The directo</t>
  </si>
  <si>
    <t xml:space="preserve">Companies Act 2006 s.475(2)-(3), s.476, s.477</t>
  </si>
  <si>
    <t xml:space="preserve">The three statements s.475(2)-(3) require: exempt under s.477; members have not required an audit under s.476; the directors' responsibilities.</t>
  </si>
  <si>
    <t xml:space="preserve">https://www.legislation.gov.uk/ukpga/2006/46/section/475; https://www.legislation.gov.uk/ukpga/2006/46/section/476; https://www.legislation.gov.uk/ukpga/2006/46/section/477</t>
  </si>
  <si>
    <t xml:space="preserve">BSS.MICRO</t>
  </si>
  <si>
    <t xml:space="preserve">Micro-entity provisions</t>
  </si>
  <si>
    <t xml:space="preserve">These accounts have been prepared in accordance with the provisions applicable to companies subject to the small companies regime and in accordance with the micro-entity provisions.</t>
  </si>
  <si>
    <t xml:space="preserve">Companies Act 2006 s.414(3); s.384A (micro-entity provisions)</t>
  </si>
  <si>
    <t xml:space="preserve">s.414(3) requires the small companies regime statement above the signature. The micro-entity statement is common practice; confirm the provision requiring or permitting it and cite it.</t>
  </si>
  <si>
    <t xml:space="preserve">https://www.legislation.gov.uk/ukpga/2006/46/section/384A; https://www.legislation.gov.uk/ukpga/2006/46/section/414</t>
  </si>
  <si>
    <t xml:space="preserve">BSS.APPROVAL</t>
  </si>
  <si>
    <t xml:space="preserve">Approval</t>
  </si>
  <si>
    <t xml:space="preserve">The financial statements were approved by the board of directors on {{fact:approval.date}} and signed on its behalf by:
{{fact:approval.director}}, Director</t>
  </si>
  <si>
    <t xml:space="preserve">Companies Act 2006 s.414(1)-(2)</t>
  </si>
  <si>
    <t xml:space="preserve">s.414(1)-(2): approved by the board and signed on its behalf by a director, on the balance sheet. The V2-M6c approval is tied to these facts.</t>
  </si>
  <si>
    <t xml:space="preserve">https://www.legislation.gov.uk/ukpga/2006/46/section/414</t>
  </si>
  <si>
    <t xml:space="preserve">frs102-1a-small</t>
  </si>
  <si>
    <t xml:space="preserve">POL.COMPLIANCE</t>
  </si>
  <si>
    <t xml:space="preserve">Statement of compliance</t>
  </si>
  <si>
    <t xml:space="preserve">MICRO, SMALL</t>
  </si>
  <si>
    <t xml:space="preserve">These financial statements have been prepared in accordance with FRS 102 The Financial Reporting Standard applicable in the UK and Republic of Ireland, including the provisions of Section 1A Small Entities, and the Companies Act 2006.</t>
  </si>
  <si>
    <t xml:space="preserve">FRS 102 Section 1A; FRS 102 3.3 (statement of compliance)</t>
  </si>
  <si>
    <t xml:space="preserve">A statement of compliance with FRS 102 including Section 1A. Confirm the paragraph FRS 102 requires of a small entity (3.3 and Section 1A's own provisions) before citing.</t>
  </si>
  <si>
    <t xml:space="preserve">POL.BASIS</t>
  </si>
  <si>
    <t xml:space="preserve">Basis of preparation</t>
  </si>
  <si>
    <t xml:space="preserve">The financial statements have been prepared under the historical cost convention. They are presented in pounds sterling.</t>
  </si>
  <si>
    <t xml:space="preserve">FRS 102 Section 1A; Section 3</t>
  </si>
  <si>
    <t xml:space="preserve">Historical cost convention and presentation currency.</t>
  </si>
  <si>
    <t xml:space="preserve">POL.GC</t>
  </si>
  <si>
    <t xml:space="preserve">Going concern</t>
  </si>
  <si>
    <t xml:space="preserve">{{fact:text.goingConcern}}</t>
  </si>
  <si>
    <t xml:space="preserve">FRS 102 3.8-3.9 (going concern)</t>
  </si>
  <si>
    <t xml:space="preserve">Going concern wording is a fact the preparer writes (FRS 102 3.8-3.9); the platform does not assert it.</t>
  </si>
  <si>
    <t xml:space="preserve">POL.TURNOVER</t>
  </si>
  <si>
    <t xml:space="preserve">Turnover</t>
  </si>
  <si>
    <t xml:space="preserve">Turnover represents amounts receivable for goods and services provided in the normal course of business, net of discounts and value added tax. Turnover from the sale of goods is recognised when the significant risks and rewards of ownership have passed to the buyer; turnover from services is recogni</t>
  </si>
  <si>
    <t xml:space="preserve">FRS 102 Section 23 (revenue)</t>
  </si>
  <si>
    <t xml:space="preserve">Revenue policy in Section 23 terms; the firm adapts it to the client.</t>
  </si>
  <si>
    <t xml:space="preserve">POL.FA</t>
  </si>
  <si>
    <t xml:space="preserve">Tangible fixed assets</t>
  </si>
  <si>
    <t xml:space="preserve">Tangible fixed assets are stated at cost less accumulated depreciation and any accumulated impairment losses. Depreciation is charged so as to write off the cost of assets, less their residual values, over their estimated useful lives, on the following bases:
{{fact:text.depreciationRates}}</t>
  </si>
  <si>
    <t xml:space="preserve">FRS 102 Section 17 (property, plant and equipment)</t>
  </si>
  <si>
    <t xml:space="preserve">Section 17 measurement; the rates are a fact.</t>
  </si>
  <si>
    <t xml:space="preserve">POL.FININST</t>
  </si>
  <si>
    <t xml:space="preserve">Financial instruments</t>
  </si>
  <si>
    <t xml:space="preserve">The company has only basic financial instruments. Trade and other debtors and creditors, cash and bank balances, and loans are measured at transaction price and subsequently at amortised cost.</t>
  </si>
  <si>
    <t xml:space="preserve">FRS 102 Section 11 (basic financial instruments)</t>
  </si>
  <si>
    <t xml:space="preserve">States the company has ONLY basic financial instruments: true for many small companies, not all. Make it conditional, or a fact the preparer confirms.</t>
  </si>
  <si>
    <t xml:space="preserve">POL.TAX</t>
  </si>
  <si>
    <t xml:space="preserve">Taxation</t>
  </si>
  <si>
    <t xml:space="preserve">The tax charge comprises current tax and deferred tax. Current tax is the tax payable on the taxable profit for the year. Deferred tax is recognised on timing differences between the treatment of items in the financial statements and their treatment for tax purposes.</t>
  </si>
  <si>
    <t xml:space="preserve">FRS 102 Section 29 (income tax)</t>
  </si>
  <si>
    <t xml:space="preserve">Current and deferred tax on timing differences (Section 29).</t>
  </si>
  <si>
    <t xml:space="preserve">Companies Act 2006 s.411</t>
  </si>
  <si>
    <t xml:space="preserve">NOTE.FA</t>
  </si>
  <si>
    <t xml:space="preserve">{{table:fixedAssets.movements}}</t>
  </si>
  <si>
    <t xml:space="preserve">SI 2008/409 Sch 1 (fixed assets: movements in cost and depreciation); FRS 102 1AC</t>
  </si>
  <si>
    <t xml:space="preserve">Movements in cost and depreciation of fixed assets (Sch 1).</t>
  </si>
  <si>
    <t xml:space="preserve">NOTE.PROV</t>
  </si>
  <si>
    <t xml:space="preserve">Provisions for liabilities</t>
  </si>
  <si>
    <t xml:space="preserve">{{table:provisions.movements}}</t>
  </si>
  <si>
    <t xml:space="preserve">SI 2008/409 Sch 1 (provisions: movements); FRS 102 Section 21</t>
  </si>
  <si>
    <t xml:space="preserve">Movements on provisions (Sch 1; Section 21).</t>
  </si>
  <si>
    <t xml:space="preserve">NOTE.CREDLONG</t>
  </si>
  <si>
    <t xml:space="preserve">Creditors: amounts falling due after more than one year</t>
  </si>
  <si>
    <t xml:space="preserve">Amounts falling due after more than one year: {{line:B.CA1}} ({{year:priorEnd}}: {{line:B.CA1:prior}}).
{{fact:text.securedDebts}}</t>
  </si>
  <si>
    <t xml:space="preserve">SI 2008/409 Sch 1 (indebtedness: amounts due after five years, security given)</t>
  </si>
  <si>
    <t xml:space="preserve">The cited Sch 1 requirement is the aggregate of debts payable (or by instalments) after more than FIVE years, and debts on which security is given with its nature. The wording discloses creditors due after more than ONE year, which is a different figure. Engineering's data cannot split it today: it needs a five-year fact (or line) and the secured-debts fact, and a reworded body.</t>
  </si>
  <si>
    <t xml:space="preserve">SI 2008/409 Sch 1 (financial commitments, guarantees and contingencies)</t>
  </si>
  <si>
    <t xml:space="preserve">NOTE.EVENTS</t>
  </si>
  <si>
    <t xml:space="preserve">Events after the reporting period</t>
  </si>
  <si>
    <t xml:space="preserve">{{fact:text.postBalanceSheetEvents}}</t>
  </si>
  <si>
    <t xml:space="preserve">SI 2008/409 Sch 1 (post balance sheet events); FRS 102 Section 32</t>
  </si>
  <si>
    <t xml:space="preserve">Post balance sheet events as a preparer's fact (Sch 1; Section 32).</t>
  </si>
  <si>
    <t xml:space="preserve">NOTE.RP</t>
  </si>
  <si>
    <t xml:space="preserve">Related party transactions</t>
  </si>
  <si>
    <t xml:space="preserve">{{table:relatedParties.transactions}}
{{fact:text.relatedPartyTerms}}</t>
  </si>
  <si>
    <t xml:space="preserve">SI 2008/409 Sch 1 (related party transactions not concluded under normal market conditions); FRS 102 1AC</t>
  </si>
  <si>
    <t xml:space="preserve">Related party transactions not concluded under normal market conditions (Sch 1; 1AC); the table shows all transactions with the parties, which is more than the minimum.</t>
  </si>
  <si>
    <t xml:space="preserve">DR.INTRO</t>
  </si>
  <si>
    <t xml:space="preserve">Directors' report</t>
  </si>
  <si>
    <t xml:space="preserve">The directors present their report and the financial statements for the year ended {{year:end}}.</t>
  </si>
  <si>
    <t xml:space="preserve">Companies Act 2006 s.415</t>
  </si>
  <si>
    <t xml:space="preserve">Directors' report (s.415).</t>
  </si>
  <si>
    <t xml:space="preserve">https://www.legislation.gov.uk/ukpga/2006/46/section/415</t>
  </si>
  <si>
    <t xml:space="preserve">DR.DIRECTORS</t>
  </si>
  <si>
    <t xml:space="preserve">Directors</t>
  </si>
  <si>
    <t xml:space="preserve">The directors who held office during the year were {{directors:names}}.</t>
  </si>
  <si>
    <t xml:space="preserve">Companies Act 2006 s.416(1)</t>
  </si>
  <si>
    <t xml:space="preserve">Names of the directors at any time in the year (s.416(1)(a)).</t>
  </si>
  <si>
    <t xml:space="preserve">https://www.legislation.gov.uk/ukpga/2006/46/section/416</t>
  </si>
  <si>
    <t xml:space="preserve">DR.SMALL</t>
  </si>
  <si>
    <t xml:space="preserve">Small companies exemption</t>
  </si>
  <si>
    <t xml:space="preserve">This report has been prepared in accordance with the provisions applicable to companies entitled to the small companies exemption.</t>
  </si>
  <si>
    <t xml:space="preserve">Companies Act 2006 s.415A, s.419(2)</t>
  </si>
  <si>
    <t xml:space="preserve">s.415A small companies exemption; s.419(2) statement above the signature.</t>
  </si>
  <si>
    <t xml:space="preserve">https://www.legislation.gov.uk/ukpga/2006/46/section/415A; https://www.legislation.gov.uk/ukpga/2006/46/section/419</t>
  </si>
  <si>
    <t xml:space="preserve">DR.APPROVAL</t>
  </si>
  <si>
    <t xml:space="preserve">Approval of the directors' report</t>
  </si>
  <si>
    <t xml:space="preserve">This report was approved by the board of directors on {{fact:approval.date}} and signed on its behalf by:
{{fact:approval.director}}, Director</t>
  </si>
  <si>
    <t xml:space="preserve">Companies Act 2006 s.419(1)</t>
  </si>
  <si>
    <t xml:space="preserve">s.419(1): approved by the board and signed by a director or the secretary.</t>
  </si>
  <si>
    <t xml:space="preserve">https://www.legislation.gov.uk/ukpga/2006/46/section/419</t>
  </si>
  <si>
    <t xml:space="preserve">BSS.SMALL</t>
  </si>
  <si>
    <t xml:space="preserve">Small companies regime</t>
  </si>
  <si>
    <t xml:space="preserve">These financial statements have been prepared in accordance with the provisions applicable to companies subject to the small companies regime.</t>
  </si>
  <si>
    <t xml:space="preserve">Companies Act 2006 s.414(3)</t>
  </si>
  <si>
    <t xml:space="preserve">s.414(3): the statement that the accounts are prepared under the small companies regime, in a prominent position above the signature.</t>
  </si>
  <si>
    <t xml:space="preserve">(not in the pack)</t>
  </si>
  <si>
    <t xml:space="preserve">Political donations and expenditure</t>
  </si>
  <si>
    <t xml:space="preserve">Companies Act 2006 Sch 7 (SI 2008/410 Sch 7 Part 1)</t>
  </si>
  <si>
    <t xml:space="preserve">A small company's directors' report must disclose political donations and expenditure over £2,000 in the year. The pack has no wording for it; add conditional wording or a fact.</t>
  </si>
  <si>
    <t xml:space="preserve">https://www.legislation.gov.uk/uksi/2008/410/schedule/7</t>
  </si>
  <si>
    <t xml:space="preserve">Matrix</t>
  </si>
  <si>
    <t xml:space="preserve">Rows</t>
  </si>
  <si>
    <t xml:space="preserve">Evidence paths</t>
  </si>
  <si>
    <t xml:space="preserve">Missing</t>
  </si>
  <si>
    <t xml:space="preserve">Which</t>
  </si>
  <si>
    <t xml:space="preserve">docs/architecture/v1-compliance-matrix.json</t>
  </si>
  <si>
    <t xml:space="preserve">none</t>
  </si>
  <si>
    <t xml:space="preserve">docs/architecture/v2-compliance-matrix.json</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</si>
</sst>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4"/>
      <name val="Cambria"/>
      <family val="0"/>
      <charset val="1"/>
    </font>
    <font>
      <b val="true"/>
      <sz val="11"/>
      <color rgb="FFFFFFFF"/>
      <name val="Cambria"/>
      <family val="0"/>
      <charset val="1"/>
    </font>
    <font>
      <b val="true"/>
      <sz val="12"/>
      <name val="Cambria"/>
      <family val="0"/>
      <charset val="1"/>
    </font>
  </fonts>
  <fills count="7">
    <fill>
      <patternFill patternType="none"/>
    </fill>
    <fill>
      <patternFill patternType="gray125"/>
    </fill>
    <fill>
      <patternFill patternType="solid">
        <fgColor rgb="FF1F3864"/>
        <bgColor rgb="FF333333"/>
      </patternFill>
    </fill>
    <fill>
      <patternFill patternType="solid">
        <fgColor rgb="FFFFC7CE"/>
        <bgColor rgb="FFFFEB9C"/>
      </patternFill>
    </fill>
    <fill>
      <patternFill patternType="solid">
        <fgColor rgb="FFFFEB9C"/>
        <bgColor rgb="FFFFFFCC"/>
      </patternFill>
    </fill>
    <fill>
      <patternFill patternType="solid">
        <fgColor rgb="FFDDEBF7"/>
        <bgColor rgb="FFCCFFFF"/>
      </patternFill>
    </fill>
    <fill>
      <patternFill patternType="solid">
        <fgColor rgb="FFC6EFCE"/>
        <bgColor rgb="FFDDEBF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5" fillId="2" borderId="0" xfId="0" applyFont="true" applyBorder="false" applyAlignment="true" applyProtection="false">
      <alignment horizontal="general" vertical="top" textRotation="0" wrapText="true" indent="0" shrinkToFit="false"/>
      <protection locked="true" hidden="false"/>
    </xf>
    <xf numFmtId="164" fontId="0" fillId="3" borderId="0" xfId="0" applyFont="true" applyBorder="false" applyAlignment="true" applyProtection="false">
      <alignment horizontal="general" vertical="top" textRotation="0" wrapText="true" indent="0" shrinkToFit="false"/>
      <protection locked="true" hidden="false"/>
    </xf>
    <xf numFmtId="164" fontId="0" fillId="4" borderId="0" xfId="0" applyFont="true" applyBorder="false" applyAlignment="true" applyProtection="false">
      <alignment horizontal="general" vertical="top" textRotation="0" wrapText="true" indent="0" shrinkToFit="false"/>
      <protection locked="true" hidden="false"/>
    </xf>
    <xf numFmtId="164" fontId="0" fillId="5" borderId="0" xfId="0" applyFont="true" applyBorder="false" applyAlignment="true" applyProtection="false">
      <alignment horizontal="general" vertical="top" textRotation="0" wrapText="true" indent="0" shrinkToFit="false"/>
      <protection locked="true" hidden="false"/>
    </xf>
    <xf numFmtId="164" fontId="0" fillId="6"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0"/>
  </cols>
  <sheetData>
    <row r="1" customFormat="false" ht="17.9" hidden="false" customHeight="false" outlineLevel="0" collapsed="false">
      <c r="A1" s="1" t="s">
        <v>0</v>
      </c>
    </row>
    <row r="2" customFormat="false" ht="15" hidden="false" customHeight="false" outlineLevel="0" collapsed="false">
      <c r="A2" s="2"/>
    </row>
    <row r="3" customFormat="false" ht="28.35" hidden="false" customHeight="false" outlineLevel="0" collapsed="false">
      <c r="A3" s="2" t="s">
        <v>1</v>
      </c>
    </row>
    <row r="4" customFormat="false" ht="15" hidden="false" customHeight="false" outlineLevel="0" collapsed="false">
      <c r="A4" s="2"/>
    </row>
    <row r="5" customFormat="false" ht="15" hidden="false" customHeight="false" outlineLevel="0" collapsed="false">
      <c r="A5" s="2" t="s">
        <v>2</v>
      </c>
    </row>
    <row r="6" customFormat="false" ht="15" hidden="false" customHeight="false" outlineLevel="0" collapsed="false">
      <c r="A6" s="2" t="s">
        <v>3</v>
      </c>
    </row>
    <row r="7" customFormat="false" ht="15" hidden="false" customHeight="false" outlineLevel="0" collapsed="false">
      <c r="A7" s="2" t="s">
        <v>4</v>
      </c>
    </row>
    <row r="8" customFormat="false" ht="15" hidden="false" customHeight="false" outlineLevel="0" collapsed="false">
      <c r="A8" s="2" t="s">
        <v>5</v>
      </c>
    </row>
    <row r="9" customFormat="false" ht="15" hidden="false" customHeight="false" outlineLevel="0" collapsed="false">
      <c r="A9" s="2" t="s">
        <v>6</v>
      </c>
    </row>
    <row r="10" customFormat="false" ht="15" hidden="false" customHeight="false" outlineLevel="0" collapsed="false">
      <c r="A10" s="2"/>
    </row>
    <row r="11" customFormat="false" ht="28.35" hidden="false" customHeight="false" outlineLevel="0" collapsed="false">
      <c r="A11" s="2" t="s">
        <v>7</v>
      </c>
    </row>
    <row r="12" customFormat="false" ht="15" hidden="false" customHeight="false" outlineLevel="0" collapsed="false">
      <c r="A12" s="2" t="s">
        <v>8</v>
      </c>
    </row>
    <row r="13" customFormat="false" ht="28.35" hidden="false" customHeight="false" outlineLevel="0" collapsed="false">
      <c r="A13" s="2" t="s">
        <v>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3" min="3" style="0" width="34"/>
    <col collapsed="false" customWidth="true" hidden="false" outlineLevel="0" max="4" min="4" style="0" width="70"/>
    <col collapsed="false" customWidth="true" hidden="false" outlineLevel="0" max="5" min="5" style="0" width="26"/>
    <col collapsed="false" customWidth="true" hidden="false" outlineLevel="0" max="6" min="6" style="0" width="60"/>
  </cols>
  <sheetData>
    <row r="1" customFormat="false" ht="15" hidden="false" customHeight="false" outlineLevel="0" collapsed="false">
      <c r="A1" s="3" t="s">
        <v>10</v>
      </c>
      <c r="B1" s="3" t="s">
        <v>11</v>
      </c>
      <c r="C1" s="3" t="s">
        <v>12</v>
      </c>
      <c r="D1" s="3" t="s">
        <v>13</v>
      </c>
      <c r="E1" s="3" t="s">
        <v>14</v>
      </c>
      <c r="F1" s="3" t="s">
        <v>15</v>
      </c>
    </row>
    <row r="2" customFormat="false" ht="28.35" hidden="false" customHeight="false" outlineLevel="0" collapsed="false">
      <c r="A2" s="2" t="s">
        <v>16</v>
      </c>
      <c r="B2" s="4" t="s">
        <v>17</v>
      </c>
      <c r="C2" s="2" t="s">
        <v>18</v>
      </c>
      <c r="D2" s="2" t="s">
        <v>19</v>
      </c>
      <c r="E2" s="2" t="s">
        <v>20</v>
      </c>
      <c r="F2" s="2" t="s">
        <v>21</v>
      </c>
    </row>
    <row r="3" customFormat="false" ht="15" hidden="false" customHeight="false" outlineLevel="0" collapsed="false">
      <c r="A3" s="2" t="s">
        <v>22</v>
      </c>
      <c r="B3" s="5" t="s">
        <v>23</v>
      </c>
      <c r="C3" s="2" t="s">
        <v>24</v>
      </c>
      <c r="D3" s="2" t="s">
        <v>25</v>
      </c>
      <c r="E3" s="2" t="s">
        <v>26</v>
      </c>
      <c r="F3" s="2" t="s">
        <v>27</v>
      </c>
    </row>
    <row r="4" customFormat="false" ht="15" hidden="false" customHeight="false" outlineLevel="0" collapsed="false">
      <c r="A4" s="2" t="s">
        <v>28</v>
      </c>
      <c r="B4" s="5" t="s">
        <v>23</v>
      </c>
      <c r="C4" s="2" t="s">
        <v>29</v>
      </c>
      <c r="D4" s="2" t="s">
        <v>30</v>
      </c>
      <c r="E4" s="2" t="s">
        <v>26</v>
      </c>
      <c r="F4" s="2" t="s">
        <v>31</v>
      </c>
    </row>
    <row r="5" customFormat="false" ht="28.35" hidden="false" customHeight="false" outlineLevel="0" collapsed="false">
      <c r="A5" s="2" t="s">
        <v>32</v>
      </c>
      <c r="B5" s="5" t="s">
        <v>23</v>
      </c>
      <c r="C5" s="2" t="s">
        <v>33</v>
      </c>
      <c r="D5" s="2" t="s">
        <v>34</v>
      </c>
      <c r="E5" s="2" t="s">
        <v>26</v>
      </c>
      <c r="F5" s="2" t="s">
        <v>35</v>
      </c>
    </row>
    <row r="6" customFormat="false" ht="28.35" hidden="false" customHeight="false" outlineLevel="0" collapsed="false">
      <c r="A6" s="2" t="s">
        <v>36</v>
      </c>
      <c r="B6" s="5" t="s">
        <v>23</v>
      </c>
      <c r="C6" s="2" t="s">
        <v>37</v>
      </c>
      <c r="D6" s="2" t="s">
        <v>38</v>
      </c>
      <c r="E6" s="2" t="s">
        <v>26</v>
      </c>
      <c r="F6" s="2" t="s">
        <v>39</v>
      </c>
    </row>
    <row r="7" customFormat="false" ht="28.35" hidden="false" customHeight="false" outlineLevel="0" collapsed="false">
      <c r="A7" s="2" t="s">
        <v>40</v>
      </c>
      <c r="B7" s="5" t="s">
        <v>41</v>
      </c>
      <c r="C7" s="2" t="s">
        <v>42</v>
      </c>
      <c r="D7" s="2" t="s">
        <v>43</v>
      </c>
      <c r="E7" s="2" t="s">
        <v>44</v>
      </c>
      <c r="F7" s="2" t="s">
        <v>45</v>
      </c>
    </row>
    <row r="8" customFormat="false" ht="28.35" hidden="false" customHeight="false" outlineLevel="0" collapsed="false">
      <c r="A8" s="2" t="s">
        <v>46</v>
      </c>
      <c r="B8" s="5" t="s">
        <v>23</v>
      </c>
      <c r="C8" s="2" t="s">
        <v>47</v>
      </c>
      <c r="D8" s="2" t="s">
        <v>48</v>
      </c>
      <c r="E8" s="2" t="s">
        <v>49</v>
      </c>
      <c r="F8" s="2" t="s">
        <v>50</v>
      </c>
    </row>
    <row r="9" customFormat="false" ht="15" hidden="false" customHeight="false" outlineLevel="0" collapsed="false">
      <c r="A9" s="2" t="s">
        <v>51</v>
      </c>
      <c r="B9" s="6" t="s">
        <v>52</v>
      </c>
      <c r="C9" s="2" t="s">
        <v>53</v>
      </c>
      <c r="D9" s="2" t="s">
        <v>54</v>
      </c>
      <c r="E9" s="2" t="s">
        <v>55</v>
      </c>
      <c r="F9" s="2" t="s">
        <v>56</v>
      </c>
    </row>
    <row r="10" customFormat="false" ht="82.05" hidden="false" customHeight="false" outlineLevel="0" collapsed="false">
      <c r="A10" s="2" t="s">
        <v>57</v>
      </c>
      <c r="B10" s="7" t="s">
        <v>58</v>
      </c>
      <c r="C10" s="2" t="s">
        <v>59</v>
      </c>
      <c r="D10" s="2" t="s">
        <v>60</v>
      </c>
      <c r="E10" s="2" t="s">
        <v>57</v>
      </c>
      <c r="F10" s="2" t="s">
        <v>61</v>
      </c>
    </row>
    <row r="11" customFormat="false" ht="55.2" hidden="false" customHeight="false" outlineLevel="0" collapsed="false">
      <c r="A11" s="2" t="s">
        <v>57</v>
      </c>
      <c r="B11" s="7" t="s">
        <v>62</v>
      </c>
      <c r="C11" s="2" t="s">
        <v>63</v>
      </c>
      <c r="D11" s="2" t="s">
        <v>64</v>
      </c>
      <c r="E11" s="2" t="s">
        <v>57</v>
      </c>
      <c r="F11" s="2" t="s">
        <v>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0"/>
    <col collapsed="false" customWidth="true" hidden="false" outlineLevel="0" max="3" min="3" style="0" width="12"/>
    <col collapsed="false" customWidth="true" hidden="false" outlineLevel="0" max="4" min="4" style="0" width="10"/>
  </cols>
  <sheetData>
    <row r="1" customFormat="false" ht="15" hidden="false" customHeight="false" outlineLevel="0" collapsed="false">
      <c r="A1" s="3" t="s">
        <v>65</v>
      </c>
      <c r="B1" s="3" t="s">
        <v>66</v>
      </c>
      <c r="C1" s="3" t="s">
        <v>67</v>
      </c>
      <c r="D1" s="3" t="s">
        <v>68</v>
      </c>
    </row>
    <row r="2" customFormat="false" ht="15" hidden="false" customHeight="false" outlineLevel="0" collapsed="false">
      <c r="A2" s="2" t="s">
        <v>69</v>
      </c>
      <c r="B2" s="2"/>
      <c r="C2" s="2" t="n">
        <v>0</v>
      </c>
      <c r="D2" s="7" t="s">
        <v>62</v>
      </c>
    </row>
    <row r="3" customFormat="false" ht="15" hidden="false" customHeight="false" outlineLevel="0" collapsed="false">
      <c r="A3" s="2" t="s">
        <v>70</v>
      </c>
      <c r="B3" s="2" t="n">
        <v>37</v>
      </c>
      <c r="C3" s="2" t="n">
        <v>0</v>
      </c>
      <c r="D3" s="7" t="s">
        <v>62</v>
      </c>
    </row>
    <row r="4" customFormat="false" ht="15" hidden="false" customHeight="false" outlineLevel="0" collapsed="false">
      <c r="A4" s="2" t="s">
        <v>71</v>
      </c>
      <c r="B4" s="2" t="n">
        <v>51</v>
      </c>
      <c r="C4" s="2" t="n">
        <v>0</v>
      </c>
      <c r="D4" s="7" t="s">
        <v>62</v>
      </c>
    </row>
    <row r="5" customFormat="false" ht="15" hidden="false" customHeight="false" outlineLevel="0" collapsed="false">
      <c r="A5" s="2" t="s">
        <v>72</v>
      </c>
      <c r="B5" s="2" t="n">
        <v>152</v>
      </c>
      <c r="C5" s="2" t="n">
        <v>0</v>
      </c>
      <c r="D5" s="7" t="s">
        <v>62</v>
      </c>
    </row>
    <row r="6" customFormat="false" ht="15" hidden="false" customHeight="false" outlineLevel="0" collapsed="false">
      <c r="A6" s="2" t="s">
        <v>73</v>
      </c>
      <c r="B6" s="2" t="n">
        <v>79</v>
      </c>
      <c r="C6" s="2" t="n">
        <v>0</v>
      </c>
      <c r="D6" s="7" t="s">
        <v>62</v>
      </c>
    </row>
    <row r="7" customFormat="false" ht="15" hidden="false" customHeight="false" outlineLevel="0" collapsed="false">
      <c r="A7" s="2" t="s">
        <v>74</v>
      </c>
      <c r="B7" s="2" t="n">
        <v>62</v>
      </c>
      <c r="C7" s="2" t="n">
        <v>0</v>
      </c>
      <c r="D7" s="7" t="s">
        <v>62</v>
      </c>
    </row>
    <row r="8" customFormat="false" ht="15" hidden="false" customHeight="false" outlineLevel="0" collapsed="false">
      <c r="A8" s="2" t="s">
        <v>75</v>
      </c>
      <c r="B8" s="2" t="n">
        <v>139</v>
      </c>
      <c r="C8" s="2" t="n">
        <v>0</v>
      </c>
      <c r="D8" s="7" t="s">
        <v>62</v>
      </c>
    </row>
    <row r="9" customFormat="false" ht="15" hidden="false" customHeight="false" outlineLevel="0" collapsed="false">
      <c r="A9" s="2" t="s">
        <v>76</v>
      </c>
      <c r="B9" s="2" t="n">
        <v>106</v>
      </c>
      <c r="C9" s="2" t="n">
        <v>0</v>
      </c>
      <c r="D9" s="7" t="s">
        <v>62</v>
      </c>
    </row>
    <row r="10" customFormat="false" ht="15" hidden="false" customHeight="false" outlineLevel="0" collapsed="false">
      <c r="A10" s="2" t="s">
        <v>77</v>
      </c>
      <c r="B10" s="2" t="n">
        <v>38</v>
      </c>
      <c r="C10" s="2" t="n">
        <v>0</v>
      </c>
      <c r="D10" s="7" t="s">
        <v>62</v>
      </c>
    </row>
    <row r="11" customFormat="false" ht="15" hidden="false" customHeight="false" outlineLevel="0" collapsed="false">
      <c r="A11" s="2" t="s">
        <v>78</v>
      </c>
      <c r="B11" s="2" t="n">
        <v>79</v>
      </c>
      <c r="C11" s="2" t="n">
        <v>0</v>
      </c>
      <c r="D11" s="7" t="s">
        <v>62</v>
      </c>
    </row>
    <row r="12" customFormat="false" ht="15" hidden="false" customHeight="false" outlineLevel="0" collapsed="false">
      <c r="A12" s="2" t="s">
        <v>79</v>
      </c>
      <c r="B12" s="2" t="n">
        <v>112</v>
      </c>
      <c r="C12" s="2" t="n">
        <v>0</v>
      </c>
      <c r="D12" s="7"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6" min="2" style="0" width="16"/>
  </cols>
  <sheetData>
    <row r="1" customFormat="false" ht="15" hidden="false" customHeight="false" outlineLevel="0" collapsed="false">
      <c r="A1" s="8" t="s">
        <v>80</v>
      </c>
    </row>
    <row r="2" customFormat="false" ht="15" hidden="false" customHeight="false" outlineLevel="0" collapsed="false">
      <c r="A2" s="9" t="s">
        <v>81</v>
      </c>
      <c r="B2" s="9" t="s">
        <v>82</v>
      </c>
      <c r="C2" s="9" t="s">
        <v>83</v>
      </c>
      <c r="D2" s="9" t="s">
        <v>84</v>
      </c>
    </row>
    <row r="3" customFormat="false" ht="15" hidden="false" customHeight="false" outlineLevel="0" collapsed="false">
      <c r="A3" s="0" t="s">
        <v>85</v>
      </c>
      <c r="B3" s="0" t="n">
        <v>11</v>
      </c>
      <c r="C3" s="0" t="n">
        <v>0</v>
      </c>
      <c r="D3" s="10" t="s">
        <v>62</v>
      </c>
    </row>
    <row r="4" customFormat="false" ht="15" hidden="false" customHeight="false" outlineLevel="0" collapsed="false">
      <c r="A4" s="0" t="s">
        <v>86</v>
      </c>
      <c r="B4" s="0" t="n">
        <v>1</v>
      </c>
      <c r="C4" s="0" t="n">
        <v>0</v>
      </c>
      <c r="D4" s="10" t="s">
        <v>62</v>
      </c>
    </row>
    <row r="5" customFormat="false" ht="15" hidden="false" customHeight="false" outlineLevel="0" collapsed="false">
      <c r="A5" s="0" t="s">
        <v>87</v>
      </c>
      <c r="B5" s="0" t="n">
        <v>0</v>
      </c>
      <c r="C5" s="0" t="n">
        <v>0</v>
      </c>
      <c r="D5" s="10" t="s">
        <v>62</v>
      </c>
    </row>
    <row r="6" customFormat="false" ht="15" hidden="false" customHeight="false" outlineLevel="0" collapsed="false">
      <c r="A6" s="0" t="s">
        <v>88</v>
      </c>
      <c r="B6" s="0" t="n">
        <v>10</v>
      </c>
      <c r="C6" s="0" t="n">
        <v>0</v>
      </c>
      <c r="D6" s="10" t="s">
        <v>62</v>
      </c>
    </row>
    <row r="7" customFormat="false" ht="15" hidden="false" customHeight="false" outlineLevel="0" collapsed="false">
      <c r="A7" s="0" t="s">
        <v>89</v>
      </c>
      <c r="B7" s="0" t="n">
        <v>5</v>
      </c>
      <c r="C7" s="0" t="n">
        <v>0</v>
      </c>
      <c r="D7" s="10" t="s">
        <v>62</v>
      </c>
    </row>
    <row r="8" customFormat="false" ht="15" hidden="false" customHeight="false" outlineLevel="0" collapsed="false">
      <c r="A8" s="0" t="s">
        <v>90</v>
      </c>
      <c r="B8" s="0" t="n">
        <v>1</v>
      </c>
      <c r="C8" s="0" t="n">
        <v>0</v>
      </c>
      <c r="D8" s="10" t="s">
        <v>62</v>
      </c>
    </row>
    <row r="9" customFormat="false" ht="15" hidden="false" customHeight="false" outlineLevel="0" collapsed="false">
      <c r="A9" s="0" t="s">
        <v>91</v>
      </c>
      <c r="B9" s="0" t="n">
        <v>0</v>
      </c>
      <c r="C9" s="0" t="n">
        <v>0</v>
      </c>
      <c r="D9" s="10" t="s">
        <v>62</v>
      </c>
    </row>
    <row r="10" customFormat="false" ht="15" hidden="false" customHeight="false" outlineLevel="0" collapsed="false">
      <c r="A10" s="0" t="s">
        <v>92</v>
      </c>
      <c r="B10" s="0" t="n">
        <v>12</v>
      </c>
      <c r="C10" s="0" t="n">
        <v>0</v>
      </c>
      <c r="D10" s="10" t="s">
        <v>62</v>
      </c>
    </row>
    <row r="11" customFormat="false" ht="15" hidden="false" customHeight="false" outlineLevel="0" collapsed="false">
      <c r="A11" s="0" t="s">
        <v>93</v>
      </c>
      <c r="B11" s="0" t="n">
        <v>4</v>
      </c>
      <c r="C11" s="0" t="n">
        <v>0</v>
      </c>
      <c r="D11" s="10" t="s">
        <v>62</v>
      </c>
    </row>
    <row r="12" customFormat="false" ht="15" hidden="false" customHeight="false" outlineLevel="0" collapsed="false">
      <c r="A12" s="0" t="s">
        <v>94</v>
      </c>
      <c r="B12" s="0" t="n">
        <v>0</v>
      </c>
      <c r="C12" s="0" t="n">
        <v>0</v>
      </c>
      <c r="D12" s="10" t="s">
        <v>62</v>
      </c>
    </row>
    <row r="13" customFormat="false" ht="15" hidden="false" customHeight="false" outlineLevel="0" collapsed="false">
      <c r="A13" s="0" t="s">
        <v>95</v>
      </c>
      <c r="B13" s="0" t="n">
        <v>0</v>
      </c>
      <c r="C13" s="0" t="n">
        <v>0</v>
      </c>
      <c r="D13" s="10" t="s">
        <v>62</v>
      </c>
    </row>
    <row r="14" customFormat="false" ht="15" hidden="false" customHeight="false" outlineLevel="0" collapsed="false">
      <c r="A14" s="8"/>
    </row>
    <row r="15" customFormat="false" ht="15" hidden="false" customHeight="false" outlineLevel="0" collapsed="false">
      <c r="A15" s="0" t="s">
        <v>96</v>
      </c>
    </row>
    <row r="16" customFormat="false" ht="15" hidden="false" customHeight="false" outlineLevel="0" collapsed="false">
      <c r="A16" s="9" t="s">
        <v>97</v>
      </c>
      <c r="B16" s="9" t="s">
        <v>98</v>
      </c>
      <c r="C16" s="9" t="s">
        <v>99</v>
      </c>
      <c r="D16" s="9" t="s">
        <v>100</v>
      </c>
      <c r="E16" s="9" t="s">
        <v>101</v>
      </c>
      <c r="F16" s="9" t="s">
        <v>84</v>
      </c>
    </row>
    <row r="17" customFormat="false" ht="15" hidden="false" customHeight="false" outlineLevel="0" collapsed="false">
      <c r="A17" s="0" t="s">
        <v>102</v>
      </c>
      <c r="B17" s="0" t="n">
        <v>30000</v>
      </c>
      <c r="C17" s="0" t="n">
        <v>24000</v>
      </c>
    </row>
    <row r="18" customFormat="false" ht="15" hidden="false" customHeight="false" outlineLevel="0" collapsed="false">
      <c r="A18" s="0" t="s">
        <v>103</v>
      </c>
      <c r="B18" s="0" t="n">
        <v>1250</v>
      </c>
      <c r="C18" s="0" t="n">
        <v>0</v>
      </c>
    </row>
    <row r="19" customFormat="false" ht="15" hidden="false" customHeight="false" outlineLevel="0" collapsed="false">
      <c r="A19" s="0" t="s">
        <v>104</v>
      </c>
      <c r="B19" s="0" t="n">
        <v>9500</v>
      </c>
      <c r="C19" s="0" t="n">
        <v>9000</v>
      </c>
    </row>
    <row r="20" customFormat="false" ht="15" hidden="false" customHeight="false" outlineLevel="0" collapsed="false">
      <c r="A20" s="0" t="s">
        <v>105</v>
      </c>
      <c r="B20" s="0" t="n">
        <v>1000</v>
      </c>
      <c r="C20" s="0" t="n">
        <v>1000</v>
      </c>
    </row>
    <row r="21" customFormat="false" ht="15" hidden="false" customHeight="false" outlineLevel="0" collapsed="false">
      <c r="A21" s="0" t="s">
        <v>106</v>
      </c>
      <c r="B21" s="0" t="n">
        <v>5570</v>
      </c>
      <c r="C21" s="0" t="n">
        <v>4700</v>
      </c>
    </row>
    <row r="22" customFormat="false" ht="15" hidden="false" customHeight="false" outlineLevel="0" collapsed="false">
      <c r="A22" s="0" t="s">
        <v>107</v>
      </c>
      <c r="B22" s="0" t="n">
        <v>2000</v>
      </c>
      <c r="C22" s="0" t="n">
        <v>1500</v>
      </c>
    </row>
    <row r="23" customFormat="false" ht="15" hidden="false" customHeight="false" outlineLevel="0" collapsed="false">
      <c r="A23" s="0" t="s">
        <v>108</v>
      </c>
      <c r="B23" s="0" t="n">
        <v>13180</v>
      </c>
      <c r="C23" s="0" t="n">
        <v>7800</v>
      </c>
      <c r="D23" s="0" t="n">
        <f aca="false">B17+B18-B19-B20-B21-B22</f>
        <v>13180</v>
      </c>
      <c r="E23" s="0" t="n">
        <f aca="false">C17+C18-C19-C20-C21-C22</f>
        <v>7800</v>
      </c>
      <c r="F23" s="0" t="str">
        <f aca="false">IF(AND(ROUND(D23-B23,2)=0,ROUND(E23-C23,2)=0),"OK","DIFFERS")</f>
        <v>OK</v>
      </c>
    </row>
    <row r="24" customFormat="false" ht="15" hidden="false" customHeight="false" outlineLevel="0" collapsed="false">
      <c r="A24" s="0" t="s">
        <v>109</v>
      </c>
      <c r="B24" s="0" t="n">
        <v>4000</v>
      </c>
      <c r="C24" s="0" t="n">
        <v>5000</v>
      </c>
    </row>
    <row r="25" customFormat="false" ht="15" hidden="false" customHeight="false" outlineLevel="0" collapsed="false">
      <c r="A25" s="0" t="s">
        <v>110</v>
      </c>
      <c r="B25" s="0" t="n">
        <v>33450</v>
      </c>
      <c r="C25" s="0" t="n">
        <v>20300</v>
      </c>
    </row>
    <row r="26" customFormat="false" ht="15" hidden="false" customHeight="false" outlineLevel="0" collapsed="false">
      <c r="A26" s="0" t="s">
        <v>111</v>
      </c>
      <c r="B26" s="0" t="n">
        <v>0</v>
      </c>
      <c r="C26" s="0" t="n">
        <v>400</v>
      </c>
    </row>
    <row r="27" customFormat="false" ht="15" hidden="false" customHeight="false" outlineLevel="0" collapsed="false">
      <c r="A27" s="0" t="s">
        <v>112</v>
      </c>
      <c r="B27" s="0" t="n">
        <v>8120</v>
      </c>
      <c r="C27" s="0" t="n">
        <v>7500</v>
      </c>
    </row>
    <row r="28" customFormat="false" ht="15" hidden="false" customHeight="false" outlineLevel="0" collapsed="false">
      <c r="A28" s="0" t="s">
        <v>113</v>
      </c>
      <c r="B28" s="0" t="n">
        <v>25330</v>
      </c>
      <c r="C28" s="0" t="n">
        <v>13200</v>
      </c>
      <c r="D28" s="0" t="n">
        <f aca="false">B25+B26-B27</f>
        <v>25330</v>
      </c>
      <c r="E28" s="0" t="n">
        <f aca="false">C25+C26-C27</f>
        <v>13200</v>
      </c>
      <c r="F28" s="0" t="str">
        <f aca="false">IF(AND(ROUND(D28-B28,2)=0,ROUND(E28-C28,2)=0),"OK","DIFFERS")</f>
        <v>OK</v>
      </c>
    </row>
    <row r="29" customFormat="false" ht="15" hidden="false" customHeight="false" outlineLevel="0" collapsed="false">
      <c r="A29" s="0" t="s">
        <v>114</v>
      </c>
      <c r="B29" s="0" t="n">
        <v>29330</v>
      </c>
      <c r="C29" s="0" t="n">
        <v>18200</v>
      </c>
      <c r="D29" s="0" t="n">
        <f aca="false">B24+B28</f>
        <v>29330</v>
      </c>
      <c r="E29" s="0" t="n">
        <f aca="false">C24+C28</f>
        <v>18200</v>
      </c>
      <c r="F29" s="0" t="str">
        <f aca="false">IF(AND(ROUND(D29-B29,2)=0,ROUND(E29-C29,2)=0),"OK","DIFFERS")</f>
        <v>OK</v>
      </c>
    </row>
    <row r="30" customFormat="false" ht="15" hidden="false" customHeight="false" outlineLevel="0" collapsed="false">
      <c r="A30" s="0" t="s">
        <v>115</v>
      </c>
      <c r="B30" s="0" t="n">
        <v>8000</v>
      </c>
      <c r="C30" s="0" t="n">
        <v>10000</v>
      </c>
    </row>
    <row r="31" customFormat="false" ht="15" hidden="false" customHeight="false" outlineLevel="0" collapsed="false">
      <c r="A31" s="0" t="s">
        <v>116</v>
      </c>
      <c r="B31" s="0" t="n">
        <v>250</v>
      </c>
      <c r="C31" s="0" t="n">
        <v>300</v>
      </c>
    </row>
    <row r="32" customFormat="false" ht="15" hidden="false" customHeight="false" outlineLevel="0" collapsed="false">
      <c r="A32" s="0" t="s">
        <v>117</v>
      </c>
      <c r="B32" s="0" t="n">
        <v>21080</v>
      </c>
      <c r="C32" s="0" t="n">
        <v>7900</v>
      </c>
      <c r="D32" s="0" t="n">
        <f aca="false">B29-B30-B31</f>
        <v>21080</v>
      </c>
      <c r="E32" s="0" t="n">
        <f aca="false">C29-C30-C31</f>
        <v>7900</v>
      </c>
      <c r="F32" s="0" t="str">
        <f aca="false">IF(AND(ROUND(D32-B32,2)=0,ROUND(E32-C32,2)=0),"OK","DIFFERS")</f>
        <v>OK</v>
      </c>
    </row>
    <row r="33" customFormat="false" ht="15" hidden="false" customHeight="false" outlineLevel="0" collapsed="false">
      <c r="A33" s="0" t="s">
        <v>118</v>
      </c>
      <c r="B33" s="0" t="n">
        <v>100</v>
      </c>
      <c r="C33" s="0" t="n">
        <v>100</v>
      </c>
    </row>
    <row r="34" customFormat="false" ht="15" hidden="false" customHeight="false" outlineLevel="0" collapsed="false">
      <c r="A34" s="0" t="s">
        <v>119</v>
      </c>
      <c r="B34" s="0" t="n">
        <v>0</v>
      </c>
      <c r="C34" s="0" t="n">
        <v>0</v>
      </c>
    </row>
    <row r="35" customFormat="false" ht="15" hidden="false" customHeight="false" outlineLevel="0" collapsed="false">
      <c r="A35" s="0" t="s">
        <v>120</v>
      </c>
      <c r="B35" s="0" t="n">
        <v>20980</v>
      </c>
      <c r="C35" s="0" t="n">
        <v>7800</v>
      </c>
    </row>
    <row r="36" customFormat="false" ht="15" hidden="false" customHeight="false" outlineLevel="0" collapsed="false">
      <c r="A36" s="0" t="s">
        <v>121</v>
      </c>
      <c r="B36" s="0" t="n">
        <v>21080</v>
      </c>
      <c r="C36" s="0" t="n">
        <v>7900</v>
      </c>
      <c r="D36" s="0" t="n">
        <f aca="false">B33+B34+B35</f>
        <v>21080</v>
      </c>
      <c r="E36" s="0" t="n">
        <f aca="false">C33+C34+C35</f>
        <v>7900</v>
      </c>
      <c r="F36" s="0" t="str">
        <f aca="false">IF(AND(ROUND(D36-B36,2)=0,ROUND(E36-C36,2)=0),"OK","DIFFERS")</f>
        <v>OK</v>
      </c>
    </row>
    <row r="37" customFormat="false" ht="15" hidden="false" customHeight="false" outlineLevel="0" collapsed="false">
      <c r="A37" s="0" t="s">
        <v>122</v>
      </c>
      <c r="B37" s="0" t="n">
        <v>30000</v>
      </c>
      <c r="C37" s="0" t="n">
        <v>24000</v>
      </c>
    </row>
    <row r="38" customFormat="false" ht="15" hidden="false" customHeight="false" outlineLevel="0" collapsed="false">
      <c r="A38" s="0" t="s">
        <v>123</v>
      </c>
      <c r="B38" s="0" t="n">
        <v>9500</v>
      </c>
      <c r="C38" s="0" t="n">
        <v>9000</v>
      </c>
    </row>
    <row r="39" customFormat="false" ht="15" hidden="false" customHeight="false" outlineLevel="0" collapsed="false">
      <c r="A39" s="0" t="s">
        <v>124</v>
      </c>
      <c r="B39" s="0" t="n">
        <v>20500</v>
      </c>
      <c r="C39" s="0" t="n">
        <v>15000</v>
      </c>
      <c r="D39" s="0" t="n">
        <f aca="false">B37-B38</f>
        <v>20500</v>
      </c>
      <c r="E39" s="0" t="n">
        <f aca="false">C37-C38</f>
        <v>15000</v>
      </c>
      <c r="F39" s="0" t="str">
        <f aca="false">IF(AND(ROUND(D39-B39,2)=0,ROUND(E39-C39,2)=0),"OK","DIFFERS")</f>
        <v>OK</v>
      </c>
    </row>
    <row r="40" customFormat="false" ht="15" hidden="false" customHeight="false" outlineLevel="0" collapsed="false">
      <c r="A40" s="0" t="s">
        <v>125</v>
      </c>
      <c r="B40" s="0" t="n">
        <v>6320</v>
      </c>
      <c r="C40" s="0" t="n">
        <v>5400</v>
      </c>
    </row>
    <row r="41" customFormat="false" ht="15" hidden="false" customHeight="false" outlineLevel="0" collapsed="false">
      <c r="A41" s="0" t="s">
        <v>126</v>
      </c>
      <c r="B41" s="0" t="n">
        <v>1200</v>
      </c>
      <c r="C41" s="0" t="n">
        <v>0</v>
      </c>
    </row>
    <row r="42" customFormat="false" ht="15" hidden="false" customHeight="false" outlineLevel="0" collapsed="false">
      <c r="A42" s="0" t="s">
        <v>127</v>
      </c>
      <c r="B42" s="0" t="n">
        <v>15380</v>
      </c>
      <c r="C42" s="0" t="n">
        <v>9600</v>
      </c>
      <c r="D42" s="0" t="n">
        <f aca="false">B39-B40+B41</f>
        <v>15380</v>
      </c>
      <c r="E42" s="0" t="n">
        <f aca="false">C39-C40+C41</f>
        <v>9600</v>
      </c>
      <c r="F42" s="0" t="str">
        <f aca="false">IF(AND(ROUND(D42-B42,2)=0,ROUND(E42-C42,2)=0),"OK","DIFFERS")</f>
        <v>OK</v>
      </c>
    </row>
    <row r="43" customFormat="false" ht="15" hidden="false" customHeight="false" outlineLevel="0" collapsed="false">
      <c r="A43" s="0" t="s">
        <v>128</v>
      </c>
      <c r="B43" s="0" t="n">
        <v>-200</v>
      </c>
      <c r="C43" s="0" t="n">
        <v>-300</v>
      </c>
    </row>
    <row r="44" customFormat="false" ht="15" hidden="false" customHeight="false" outlineLevel="0" collapsed="false">
      <c r="A44" s="0" t="s">
        <v>129</v>
      </c>
      <c r="B44" s="0" t="n">
        <v>15180</v>
      </c>
      <c r="C44" s="0" t="n">
        <v>9300</v>
      </c>
      <c r="D44" s="0" t="n">
        <f aca="false">B42+B43</f>
        <v>15180</v>
      </c>
      <c r="E44" s="0" t="n">
        <f aca="false">C42+C43</f>
        <v>9300</v>
      </c>
      <c r="F44" s="0" t="str">
        <f aca="false">IF(AND(ROUND(D44-B44,2)=0,ROUND(E44-C44,2)=0),"OK","DIFFERS")</f>
        <v>OK</v>
      </c>
    </row>
    <row r="45" customFormat="false" ht="15" hidden="false" customHeight="false" outlineLevel="0" collapsed="false">
      <c r="A45" s="0" t="s">
        <v>130</v>
      </c>
      <c r="B45" s="0" t="n">
        <v>2000</v>
      </c>
      <c r="C45" s="0" t="n">
        <v>1500</v>
      </c>
    </row>
    <row r="46" customFormat="false" ht="15" hidden="false" customHeight="false" outlineLevel="0" collapsed="false">
      <c r="A46" s="0" t="s">
        <v>131</v>
      </c>
      <c r="B46" s="0" t="n">
        <v>13180</v>
      </c>
      <c r="C46" s="0" t="n">
        <v>7800</v>
      </c>
      <c r="D46" s="0" t="n">
        <f aca="false">B44-B45</f>
        <v>13180</v>
      </c>
      <c r="E46" s="0" t="n">
        <f aca="false">C44-C45</f>
        <v>7800</v>
      </c>
      <c r="F46" s="0" t="str">
        <f aca="false">IF(AND(ROUND(D46-B46,2)=0,ROUND(E46-C46,2)=0),"OK","DIFFERS")</f>
        <v>OK</v>
      </c>
    </row>
    <row r="47" customFormat="false" ht="15" hidden="false" customHeight="false" outlineLevel="0" collapsed="false">
      <c r="A47" s="0" t="s">
        <v>132</v>
      </c>
      <c r="B47" s="0" t="n">
        <v>4000</v>
      </c>
      <c r="C47" s="0" t="n">
        <v>5000</v>
      </c>
    </row>
    <row r="48" customFormat="false" ht="15" hidden="false" customHeight="false" outlineLevel="0" collapsed="false">
      <c r="A48" s="0" t="s">
        <v>133</v>
      </c>
      <c r="B48" s="0" t="n">
        <v>1500</v>
      </c>
      <c r="C48" s="0" t="n">
        <v>0</v>
      </c>
    </row>
    <row r="49" customFormat="false" ht="15" hidden="false" customHeight="false" outlineLevel="0" collapsed="false">
      <c r="A49" s="0" t="s">
        <v>134</v>
      </c>
      <c r="B49" s="0" t="n">
        <v>0</v>
      </c>
      <c r="C49" s="0" t="n">
        <v>400</v>
      </c>
    </row>
    <row r="50" customFormat="false" ht="15" hidden="false" customHeight="false" outlineLevel="0" collapsed="false">
      <c r="A50" s="0" t="s">
        <v>135</v>
      </c>
      <c r="B50" s="0" t="n">
        <v>31950</v>
      </c>
      <c r="C50" s="0" t="n">
        <v>20300</v>
      </c>
    </row>
    <row r="51" customFormat="false" ht="15" hidden="false" customHeight="false" outlineLevel="0" collapsed="false">
      <c r="A51" s="0" t="s">
        <v>136</v>
      </c>
      <c r="B51" s="0" t="n">
        <v>8370</v>
      </c>
      <c r="C51" s="0" t="n">
        <v>7800</v>
      </c>
    </row>
    <row r="52" customFormat="false" ht="15" hidden="false" customHeight="false" outlineLevel="0" collapsed="false">
      <c r="A52" s="0" t="s">
        <v>137</v>
      </c>
      <c r="B52" s="0" t="n">
        <v>8000</v>
      </c>
      <c r="C52" s="0" t="n">
        <v>10000</v>
      </c>
    </row>
    <row r="53" customFormat="false" ht="15" hidden="false" customHeight="false" outlineLevel="0" collapsed="false">
      <c r="A53" s="0" t="s">
        <v>138</v>
      </c>
      <c r="B53" s="0" t="n">
        <v>21080</v>
      </c>
      <c r="C53" s="0" t="n">
        <v>7900</v>
      </c>
      <c r="D53" s="0" t="n">
        <f aca="false">B47+B48+B49+B50-B51-B52</f>
        <v>21080</v>
      </c>
      <c r="E53" s="0" t="n">
        <f aca="false">C47+C48+C49+C50-C51-C52</f>
        <v>7900</v>
      </c>
      <c r="F53" s="0" t="str">
        <f aca="false">IF(AND(ROUND(D53-B53,2)=0,ROUND(E53-C53,2)=0),"OK","DIFFERS")</f>
        <v>OK</v>
      </c>
    </row>
    <row r="54" customFormat="false" ht="15" hidden="false" customHeight="false" outlineLevel="0" collapsed="false">
      <c r="A54" s="0" t="s">
        <v>139</v>
      </c>
      <c r="B54" s="0" t="n">
        <v>100</v>
      </c>
      <c r="C54" s="0" t="n">
        <v>100</v>
      </c>
    </row>
    <row r="55" customFormat="false" ht="15" hidden="false" customHeight="false" outlineLevel="0" collapsed="false">
      <c r="A55" s="0" t="s">
        <v>140</v>
      </c>
      <c r="B55" s="0" t="n">
        <v>20980</v>
      </c>
      <c r="C55" s="0" t="n">
        <v>7800</v>
      </c>
    </row>
    <row r="56" customFormat="false" ht="15" hidden="false" customHeight="false" outlineLevel="0" collapsed="false">
      <c r="A56" s="0" t="s">
        <v>141</v>
      </c>
      <c r="B56" s="0" t="n">
        <v>21080</v>
      </c>
      <c r="C56" s="0" t="n">
        <v>7900</v>
      </c>
    </row>
    <row r="58" customFormat="false" ht="15" hidden="false" customHeight="false" outlineLevel="0" collapsed="false">
      <c r="A58" s="9" t="s">
        <v>142</v>
      </c>
      <c r="B58" s="9" t="s">
        <v>143</v>
      </c>
      <c r="C58" s="9" t="s">
        <v>144</v>
      </c>
      <c r="D58" s="9"/>
      <c r="E58" s="9"/>
      <c r="F58" s="9" t="s">
        <v>84</v>
      </c>
    </row>
    <row r="59" customFormat="false" ht="15" hidden="false" customHeight="false" outlineLevel="0" collapsed="false">
      <c r="A59" s="0" t="s">
        <v>145</v>
      </c>
      <c r="B59" s="0" t="n">
        <v>0</v>
      </c>
      <c r="C59" s="0" t="n">
        <v>0</v>
      </c>
      <c r="F59" s="10" t="s">
        <v>62</v>
      </c>
    </row>
    <row r="60" customFormat="false" ht="15" hidden="false" customHeight="false" outlineLevel="0" collapsed="false">
      <c r="A60" s="0" t="s">
        <v>146</v>
      </c>
      <c r="B60" s="0" t="n">
        <v>0</v>
      </c>
      <c r="C60" s="0" t="n">
        <v>0</v>
      </c>
      <c r="F60" s="10" t="s">
        <v>62</v>
      </c>
    </row>
    <row r="61" customFormat="false" ht="15" hidden="false" customHeight="false" outlineLevel="0" collapsed="false">
      <c r="A61" s="0" t="s">
        <v>147</v>
      </c>
      <c r="B61" s="0" t="n">
        <v>0</v>
      </c>
      <c r="C61" s="0" t="n">
        <v>0</v>
      </c>
      <c r="F61" s="10" t="s">
        <v>62</v>
      </c>
    </row>
    <row r="62" customFormat="false" ht="15" hidden="false" customHeight="false" outlineLevel="0" collapsed="false">
      <c r="A62" s="0" t="s">
        <v>148</v>
      </c>
      <c r="B62" s="0" t="n">
        <v>0</v>
      </c>
      <c r="C62" s="0" t="n">
        <v>0</v>
      </c>
      <c r="F62" s="10" t="s">
        <v>62</v>
      </c>
    </row>
    <row r="63" customFormat="false" ht="15" hidden="false" customHeight="false" outlineLevel="0" collapsed="false">
      <c r="A63" s="0" t="s">
        <v>149</v>
      </c>
      <c r="B63" s="0" t="n">
        <v>0</v>
      </c>
      <c r="C63" s="0" t="n">
        <v>0</v>
      </c>
      <c r="F63" s="10" t="s">
        <v>62</v>
      </c>
    </row>
    <row r="64" customFormat="false" ht="15" hidden="false" customHeight="false" outlineLevel="0" collapsed="false">
      <c r="A64" s="0" t="s">
        <v>150</v>
      </c>
      <c r="B64" s="0" t="n">
        <v>0</v>
      </c>
      <c r="C64" s="0" t="n">
        <v>0</v>
      </c>
      <c r="F64" s="10" t="s">
        <v>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8"/>
    <col collapsed="false" customWidth="true" hidden="false" outlineLevel="0" max="3" min="3" style="0" width="40"/>
    <col collapsed="false" customWidth="true" hidden="false" outlineLevel="0" max="4" min="4" style="0" width="22"/>
    <col collapsed="false" customWidth="true" hidden="false" outlineLevel="0" max="5" min="5" style="0" width="12"/>
    <col collapsed="false" customWidth="true" hidden="false" outlineLevel="0" max="6" min="6" style="0" width="44"/>
    <col collapsed="false" customWidth="true" hidden="false" outlineLevel="0" max="7" min="7" style="0" width="14"/>
    <col collapsed="false" customWidth="true" hidden="false" outlineLevel="0" max="8" min="8" style="0" width="60"/>
    <col collapsed="false" customWidth="true" hidden="false" outlineLevel="0" max="9" min="9" style="0" width="50"/>
    <col collapsed="false" customWidth="true" hidden="false" outlineLevel="0" max="10" min="10" style="0" width="44"/>
  </cols>
  <sheetData>
    <row r="1" customFormat="false" ht="28.35" hidden="false" customHeight="false" outlineLevel="0" collapsed="false">
      <c r="A1" s="3" t="s">
        <v>151</v>
      </c>
      <c r="B1" s="3" t="s">
        <v>152</v>
      </c>
      <c r="C1" s="3" t="s">
        <v>153</v>
      </c>
      <c r="D1" s="3" t="s">
        <v>154</v>
      </c>
      <c r="E1" s="3" t="s">
        <v>155</v>
      </c>
      <c r="F1" s="3" t="s">
        <v>156</v>
      </c>
      <c r="G1" s="3" t="s">
        <v>11</v>
      </c>
      <c r="H1" s="3" t="s">
        <v>157</v>
      </c>
      <c r="I1" s="3" t="s">
        <v>158</v>
      </c>
      <c r="J1" s="3" t="s">
        <v>159</v>
      </c>
    </row>
    <row r="2" customFormat="false" ht="28.35" hidden="false" customHeight="false" outlineLevel="0" collapsed="false">
      <c r="A2" s="2" t="s">
        <v>160</v>
      </c>
      <c r="B2" s="2" t="s">
        <v>161</v>
      </c>
      <c r="C2" s="2" t="s">
        <v>162</v>
      </c>
      <c r="D2" s="2" t="s">
        <v>163</v>
      </c>
      <c r="E2" s="2" t="s">
        <v>164</v>
      </c>
      <c r="F2" s="2" t="s">
        <v>165</v>
      </c>
      <c r="G2" s="7" t="s">
        <v>58</v>
      </c>
      <c r="H2" s="2" t="s">
        <v>166</v>
      </c>
      <c r="I2" s="2" t="s">
        <v>167</v>
      </c>
      <c r="J2" s="2" t="s">
        <v>168</v>
      </c>
    </row>
    <row r="3" customFormat="false" ht="28.35" hidden="false" customHeight="false" outlineLevel="0" collapsed="false">
      <c r="A3" s="2" t="s">
        <v>160</v>
      </c>
      <c r="B3" s="2" t="s">
        <v>161</v>
      </c>
      <c r="C3" s="2" t="s">
        <v>169</v>
      </c>
      <c r="D3" s="2" t="s">
        <v>170</v>
      </c>
      <c r="E3" s="2" t="s">
        <v>164</v>
      </c>
      <c r="F3" s="2" t="s">
        <v>165</v>
      </c>
      <c r="G3" s="7" t="s">
        <v>58</v>
      </c>
      <c r="H3" s="2" t="s">
        <v>166</v>
      </c>
      <c r="I3" s="2" t="s">
        <v>167</v>
      </c>
      <c r="J3" s="2" t="s">
        <v>168</v>
      </c>
    </row>
    <row r="4" customFormat="false" ht="28.35" hidden="false" customHeight="false" outlineLevel="0" collapsed="false">
      <c r="A4" s="2" t="s">
        <v>160</v>
      </c>
      <c r="B4" s="2" t="s">
        <v>161</v>
      </c>
      <c r="C4" s="2" t="s">
        <v>171</v>
      </c>
      <c r="D4" s="2" t="n">
        <v>10</v>
      </c>
      <c r="E4" s="2" t="s">
        <v>164</v>
      </c>
      <c r="F4" s="2" t="s">
        <v>165</v>
      </c>
      <c r="G4" s="7" t="s">
        <v>58</v>
      </c>
      <c r="H4" s="2" t="s">
        <v>166</v>
      </c>
      <c r="I4" s="2" t="s">
        <v>167</v>
      </c>
      <c r="J4" s="2" t="s">
        <v>168</v>
      </c>
    </row>
    <row r="5" customFormat="false" ht="28.35" hidden="false" customHeight="false" outlineLevel="0" collapsed="false">
      <c r="A5" s="2" t="s">
        <v>160</v>
      </c>
      <c r="B5" s="2" t="s">
        <v>172</v>
      </c>
      <c r="C5" s="2" t="s">
        <v>162</v>
      </c>
      <c r="D5" s="2" t="s">
        <v>173</v>
      </c>
      <c r="E5" s="2" t="s">
        <v>174</v>
      </c>
      <c r="F5" s="2" t="s">
        <v>175</v>
      </c>
      <c r="G5" s="7" t="s">
        <v>58</v>
      </c>
      <c r="H5" s="2" t="s">
        <v>166</v>
      </c>
      <c r="I5" s="2" t="s">
        <v>167</v>
      </c>
      <c r="J5" s="2" t="s">
        <v>168</v>
      </c>
    </row>
    <row r="6" customFormat="false" ht="28.35" hidden="false" customHeight="false" outlineLevel="0" collapsed="false">
      <c r="A6" s="2" t="s">
        <v>160</v>
      </c>
      <c r="B6" s="2" t="s">
        <v>172</v>
      </c>
      <c r="C6" s="2" t="s">
        <v>169</v>
      </c>
      <c r="D6" s="2" t="s">
        <v>176</v>
      </c>
      <c r="E6" s="2" t="s">
        <v>174</v>
      </c>
      <c r="F6" s="2" t="s">
        <v>175</v>
      </c>
      <c r="G6" s="7" t="s">
        <v>58</v>
      </c>
      <c r="H6" s="2" t="s">
        <v>166</v>
      </c>
      <c r="I6" s="2" t="s">
        <v>167</v>
      </c>
      <c r="J6" s="2" t="s">
        <v>168</v>
      </c>
    </row>
    <row r="7" customFormat="false" ht="28.35" hidden="false" customHeight="false" outlineLevel="0" collapsed="false">
      <c r="A7" s="2" t="s">
        <v>160</v>
      </c>
      <c r="B7" s="2" t="s">
        <v>172</v>
      </c>
      <c r="C7" s="2" t="s">
        <v>171</v>
      </c>
      <c r="D7" s="2" t="n">
        <v>50</v>
      </c>
      <c r="E7" s="2" t="s">
        <v>174</v>
      </c>
      <c r="F7" s="2" t="s">
        <v>175</v>
      </c>
      <c r="G7" s="7" t="s">
        <v>58</v>
      </c>
      <c r="H7" s="2" t="s">
        <v>166</v>
      </c>
      <c r="I7" s="2" t="s">
        <v>167</v>
      </c>
      <c r="J7" s="2" t="s">
        <v>168</v>
      </c>
    </row>
    <row r="8" customFormat="false" ht="28.35" hidden="false" customHeight="false" outlineLevel="0" collapsed="false">
      <c r="A8" s="2" t="s">
        <v>160</v>
      </c>
      <c r="B8" s="2" t="s">
        <v>177</v>
      </c>
      <c r="C8" s="2" t="s">
        <v>162</v>
      </c>
      <c r="D8" s="2" t="s">
        <v>178</v>
      </c>
      <c r="E8" s="2" t="s">
        <v>179</v>
      </c>
      <c r="F8" s="2" t="s">
        <v>180</v>
      </c>
      <c r="G8" s="7" t="s">
        <v>58</v>
      </c>
      <c r="H8" s="2" t="s">
        <v>166</v>
      </c>
      <c r="I8" s="2" t="s">
        <v>167</v>
      </c>
      <c r="J8" s="2" t="s">
        <v>168</v>
      </c>
    </row>
    <row r="9" customFormat="false" ht="28.35" hidden="false" customHeight="false" outlineLevel="0" collapsed="false">
      <c r="A9" s="2" t="s">
        <v>160</v>
      </c>
      <c r="B9" s="2" t="s">
        <v>177</v>
      </c>
      <c r="C9" s="2" t="s">
        <v>169</v>
      </c>
      <c r="D9" s="2" t="s">
        <v>181</v>
      </c>
      <c r="E9" s="2" t="s">
        <v>179</v>
      </c>
      <c r="F9" s="2" t="s">
        <v>180</v>
      </c>
      <c r="G9" s="7" t="s">
        <v>58</v>
      </c>
      <c r="H9" s="2" t="s">
        <v>166</v>
      </c>
      <c r="I9" s="2" t="s">
        <v>167</v>
      </c>
      <c r="J9" s="2" t="s">
        <v>168</v>
      </c>
    </row>
    <row r="10" customFormat="false" ht="28.35" hidden="false" customHeight="false" outlineLevel="0" collapsed="false">
      <c r="A10" s="2" t="s">
        <v>160</v>
      </c>
      <c r="B10" s="2" t="s">
        <v>177</v>
      </c>
      <c r="C10" s="2" t="s">
        <v>171</v>
      </c>
      <c r="D10" s="2" t="n">
        <v>250</v>
      </c>
      <c r="E10" s="2" t="s">
        <v>179</v>
      </c>
      <c r="F10" s="2" t="s">
        <v>180</v>
      </c>
      <c r="G10" s="7" t="s">
        <v>58</v>
      </c>
      <c r="H10" s="2" t="s">
        <v>166</v>
      </c>
      <c r="I10" s="2" t="s">
        <v>167</v>
      </c>
      <c r="J10" s="2" t="s">
        <v>168</v>
      </c>
    </row>
    <row r="11" customFormat="false" ht="41.75" hidden="false" customHeight="false" outlineLevel="0" collapsed="false">
      <c r="A11" s="2" t="s">
        <v>182</v>
      </c>
      <c r="B11" s="2" t="s">
        <v>161</v>
      </c>
      <c r="C11" s="2" t="s">
        <v>162</v>
      </c>
      <c r="D11" s="2" t="s">
        <v>183</v>
      </c>
      <c r="E11" s="2" t="s">
        <v>164</v>
      </c>
      <c r="F11" s="2" t="s">
        <v>165</v>
      </c>
      <c r="G11" s="7" t="s">
        <v>58</v>
      </c>
      <c r="H11" s="2" t="s">
        <v>184</v>
      </c>
      <c r="I11" s="2" t="s">
        <v>185</v>
      </c>
      <c r="J11" s="2" t="s">
        <v>186</v>
      </c>
    </row>
    <row r="12" customFormat="false" ht="41.75" hidden="false" customHeight="false" outlineLevel="0" collapsed="false">
      <c r="A12" s="2" t="s">
        <v>182</v>
      </c>
      <c r="B12" s="2" t="s">
        <v>161</v>
      </c>
      <c r="C12" s="2" t="s">
        <v>169</v>
      </c>
      <c r="D12" s="2" t="s">
        <v>187</v>
      </c>
      <c r="E12" s="2" t="s">
        <v>164</v>
      </c>
      <c r="F12" s="2" t="s">
        <v>165</v>
      </c>
      <c r="G12" s="7" t="s">
        <v>58</v>
      </c>
      <c r="H12" s="2" t="s">
        <v>184</v>
      </c>
      <c r="I12" s="2" t="s">
        <v>185</v>
      </c>
      <c r="J12" s="2" t="s">
        <v>186</v>
      </c>
    </row>
    <row r="13" customFormat="false" ht="41.75" hidden="false" customHeight="false" outlineLevel="0" collapsed="false">
      <c r="A13" s="2" t="s">
        <v>182</v>
      </c>
      <c r="B13" s="2" t="s">
        <v>161</v>
      </c>
      <c r="C13" s="2" t="s">
        <v>171</v>
      </c>
      <c r="D13" s="2" t="n">
        <v>10</v>
      </c>
      <c r="E13" s="2" t="s">
        <v>164</v>
      </c>
      <c r="F13" s="2" t="s">
        <v>165</v>
      </c>
      <c r="G13" s="7" t="s">
        <v>58</v>
      </c>
      <c r="H13" s="2" t="s">
        <v>184</v>
      </c>
      <c r="I13" s="2" t="s">
        <v>185</v>
      </c>
      <c r="J13" s="2" t="s">
        <v>186</v>
      </c>
    </row>
    <row r="14" customFormat="false" ht="41.75" hidden="false" customHeight="false" outlineLevel="0" collapsed="false">
      <c r="A14" s="2" t="s">
        <v>182</v>
      </c>
      <c r="B14" s="2" t="s">
        <v>172</v>
      </c>
      <c r="C14" s="2" t="s">
        <v>162</v>
      </c>
      <c r="D14" s="2" t="s">
        <v>188</v>
      </c>
      <c r="E14" s="2" t="s">
        <v>174</v>
      </c>
      <c r="F14" s="2" t="s">
        <v>175</v>
      </c>
      <c r="G14" s="7" t="s">
        <v>58</v>
      </c>
      <c r="H14" s="2" t="s">
        <v>184</v>
      </c>
      <c r="I14" s="2" t="s">
        <v>185</v>
      </c>
      <c r="J14" s="2" t="s">
        <v>186</v>
      </c>
    </row>
    <row r="15" customFormat="false" ht="41.75" hidden="false" customHeight="false" outlineLevel="0" collapsed="false">
      <c r="A15" s="2" t="s">
        <v>182</v>
      </c>
      <c r="B15" s="2" t="s">
        <v>172</v>
      </c>
      <c r="C15" s="2" t="s">
        <v>169</v>
      </c>
      <c r="D15" s="2" t="s">
        <v>189</v>
      </c>
      <c r="E15" s="2" t="s">
        <v>174</v>
      </c>
      <c r="F15" s="2" t="s">
        <v>175</v>
      </c>
      <c r="G15" s="7" t="s">
        <v>58</v>
      </c>
      <c r="H15" s="2" t="s">
        <v>184</v>
      </c>
      <c r="I15" s="2" t="s">
        <v>185</v>
      </c>
      <c r="J15" s="2" t="s">
        <v>186</v>
      </c>
    </row>
    <row r="16" customFormat="false" ht="41.75" hidden="false" customHeight="false" outlineLevel="0" collapsed="false">
      <c r="A16" s="2" t="s">
        <v>182</v>
      </c>
      <c r="B16" s="2" t="s">
        <v>172</v>
      </c>
      <c r="C16" s="2" t="s">
        <v>171</v>
      </c>
      <c r="D16" s="2" t="n">
        <v>50</v>
      </c>
      <c r="E16" s="2" t="s">
        <v>174</v>
      </c>
      <c r="F16" s="2" t="s">
        <v>175</v>
      </c>
      <c r="G16" s="7" t="s">
        <v>58</v>
      </c>
      <c r="H16" s="2" t="s">
        <v>184</v>
      </c>
      <c r="I16" s="2" t="s">
        <v>185</v>
      </c>
      <c r="J16" s="2" t="s">
        <v>186</v>
      </c>
    </row>
    <row r="17" customFormat="false" ht="41.75" hidden="false" customHeight="false" outlineLevel="0" collapsed="false">
      <c r="A17" s="2" t="s">
        <v>182</v>
      </c>
      <c r="B17" s="2" t="s">
        <v>177</v>
      </c>
      <c r="C17" s="2" t="s">
        <v>162</v>
      </c>
      <c r="D17" s="2" t="s">
        <v>190</v>
      </c>
      <c r="E17" s="2" t="s">
        <v>179</v>
      </c>
      <c r="F17" s="2" t="s">
        <v>180</v>
      </c>
      <c r="G17" s="7" t="s">
        <v>58</v>
      </c>
      <c r="H17" s="2" t="s">
        <v>184</v>
      </c>
      <c r="I17" s="2" t="s">
        <v>185</v>
      </c>
      <c r="J17" s="2" t="s">
        <v>186</v>
      </c>
    </row>
    <row r="18" customFormat="false" ht="41.75" hidden="false" customHeight="false" outlineLevel="0" collapsed="false">
      <c r="A18" s="2" t="s">
        <v>182</v>
      </c>
      <c r="B18" s="2" t="s">
        <v>177</v>
      </c>
      <c r="C18" s="2" t="s">
        <v>169</v>
      </c>
      <c r="D18" s="2" t="s">
        <v>191</v>
      </c>
      <c r="E18" s="2" t="s">
        <v>179</v>
      </c>
      <c r="F18" s="2" t="s">
        <v>180</v>
      </c>
      <c r="G18" s="7" t="s">
        <v>58</v>
      </c>
      <c r="H18" s="2" t="s">
        <v>184</v>
      </c>
      <c r="I18" s="2" t="s">
        <v>185</v>
      </c>
      <c r="J18" s="2" t="s">
        <v>186</v>
      </c>
    </row>
    <row r="19" customFormat="false" ht="41.75" hidden="false" customHeight="false" outlineLevel="0" collapsed="false">
      <c r="A19" s="2" t="s">
        <v>182</v>
      </c>
      <c r="B19" s="2" t="s">
        <v>177</v>
      </c>
      <c r="C19" s="2" t="s">
        <v>171</v>
      </c>
      <c r="D19" s="2" t="n">
        <v>250</v>
      </c>
      <c r="E19" s="2" t="s">
        <v>179</v>
      </c>
      <c r="F19" s="2" t="s">
        <v>180</v>
      </c>
      <c r="G19" s="7" t="s">
        <v>58</v>
      </c>
      <c r="H19" s="2" t="s">
        <v>184</v>
      </c>
      <c r="I19" s="2" t="s">
        <v>185</v>
      </c>
      <c r="J19" s="2" t="s">
        <v>186</v>
      </c>
    </row>
    <row r="20" customFormat="false" ht="41.75" hidden="false" customHeight="false" outlineLevel="0" collapsed="false">
      <c r="A20" s="2" t="s">
        <v>182</v>
      </c>
      <c r="B20" s="2" t="s">
        <v>192</v>
      </c>
      <c r="C20" s="2" t="s">
        <v>193</v>
      </c>
      <c r="D20" s="2" t="s">
        <v>194</v>
      </c>
      <c r="E20" s="2" t="s">
        <v>195</v>
      </c>
      <c r="F20" s="2" t="s">
        <v>186</v>
      </c>
      <c r="G20" s="7" t="s">
        <v>58</v>
      </c>
      <c r="H20" s="2" t="s">
        <v>196</v>
      </c>
      <c r="I20" s="2" t="s">
        <v>197</v>
      </c>
      <c r="J20" s="2" t="s">
        <v>186</v>
      </c>
    </row>
    <row r="21" customFormat="false" ht="41.75" hidden="false" customHeight="false" outlineLevel="0" collapsed="false">
      <c r="A21" s="2" t="s">
        <v>182</v>
      </c>
      <c r="B21" s="2" t="s">
        <v>192</v>
      </c>
      <c r="C21" s="2" t="s">
        <v>198</v>
      </c>
      <c r="D21" s="2" t="s">
        <v>199</v>
      </c>
      <c r="E21" s="2" t="s">
        <v>195</v>
      </c>
      <c r="F21" s="2" t="s">
        <v>186</v>
      </c>
      <c r="G21" s="7" t="s">
        <v>58</v>
      </c>
      <c r="H21" s="2" t="s">
        <v>200</v>
      </c>
      <c r="I21" s="2" t="s">
        <v>201</v>
      </c>
      <c r="J21" s="2" t="s">
        <v>186</v>
      </c>
    </row>
    <row r="22" customFormat="false" ht="41.75" hidden="false" customHeight="false" outlineLevel="0" collapsed="false">
      <c r="A22" s="2" t="s">
        <v>160</v>
      </c>
      <c r="B22" s="2" t="s">
        <v>192</v>
      </c>
      <c r="C22" s="2" t="s">
        <v>202</v>
      </c>
      <c r="D22" s="2" t="s">
        <v>199</v>
      </c>
      <c r="E22" s="2" t="s">
        <v>203</v>
      </c>
      <c r="F22" s="2" t="s">
        <v>168</v>
      </c>
      <c r="G22" s="5" t="s">
        <v>41</v>
      </c>
      <c r="H22" s="2" t="s">
        <v>204</v>
      </c>
      <c r="I22" s="2" t="s">
        <v>167</v>
      </c>
      <c r="J22" s="2" t="s">
        <v>168</v>
      </c>
    </row>
    <row r="23" customFormat="false" ht="41.75" hidden="false" customHeight="false" outlineLevel="0" collapsed="false">
      <c r="A23" s="2" t="s">
        <v>192</v>
      </c>
      <c r="B23" s="2" t="s">
        <v>192</v>
      </c>
      <c r="C23" s="2" t="s">
        <v>205</v>
      </c>
      <c r="D23" s="2" t="s">
        <v>206</v>
      </c>
      <c r="E23" s="2" t="s">
        <v>207</v>
      </c>
      <c r="F23" s="2" t="s">
        <v>175</v>
      </c>
      <c r="G23" s="7" t="s">
        <v>58</v>
      </c>
      <c r="H23" s="2" t="s">
        <v>208</v>
      </c>
      <c r="I23" s="2" t="s">
        <v>209</v>
      </c>
      <c r="J23" s="2" t="s">
        <v>175</v>
      </c>
    </row>
    <row r="24" customFormat="false" ht="41.75" hidden="false" customHeight="false" outlineLevel="0" collapsed="false">
      <c r="A24" s="2" t="s">
        <v>192</v>
      </c>
      <c r="B24" s="2" t="s">
        <v>192</v>
      </c>
      <c r="C24" s="2" t="s">
        <v>210</v>
      </c>
      <c r="D24" s="2" t="s">
        <v>211</v>
      </c>
      <c r="E24" s="2" t="s">
        <v>212</v>
      </c>
      <c r="F24" s="2" t="s">
        <v>175</v>
      </c>
      <c r="G24" s="7" t="s">
        <v>58</v>
      </c>
      <c r="H24" s="2" t="s">
        <v>213</v>
      </c>
      <c r="I24" s="2" t="s">
        <v>209</v>
      </c>
      <c r="J24" s="2" t="s">
        <v>175</v>
      </c>
    </row>
    <row r="25" customFormat="false" ht="41.75" hidden="false" customHeight="false" outlineLevel="0" collapsed="false">
      <c r="A25" s="2" t="s">
        <v>192</v>
      </c>
      <c r="B25" s="2" t="s">
        <v>192</v>
      </c>
      <c r="C25" s="2" t="s">
        <v>214</v>
      </c>
      <c r="D25" s="2" t="s">
        <v>215</v>
      </c>
      <c r="E25" s="2" t="s">
        <v>216</v>
      </c>
      <c r="F25" s="2" t="s">
        <v>175</v>
      </c>
      <c r="G25" s="7" t="s">
        <v>58</v>
      </c>
      <c r="H25" s="2" t="s">
        <v>217</v>
      </c>
      <c r="I25" s="2" t="s">
        <v>209</v>
      </c>
      <c r="J25" s="2" t="s">
        <v>175</v>
      </c>
    </row>
    <row r="26" customFormat="false" ht="41.75" hidden="false" customHeight="false" outlineLevel="0" collapsed="false">
      <c r="A26" s="2" t="s">
        <v>192</v>
      </c>
      <c r="B26" s="2" t="s">
        <v>192</v>
      </c>
      <c r="C26" s="2" t="s">
        <v>218</v>
      </c>
      <c r="D26" s="2" t="s">
        <v>219</v>
      </c>
      <c r="E26" s="2" t="s">
        <v>220</v>
      </c>
      <c r="F26" s="2" t="s">
        <v>175</v>
      </c>
      <c r="G26" s="5" t="s">
        <v>23</v>
      </c>
      <c r="H26" s="2" t="s">
        <v>221</v>
      </c>
      <c r="I26" s="2" t="s">
        <v>209</v>
      </c>
      <c r="J26" s="2" t="s">
        <v>175</v>
      </c>
    </row>
    <row r="27" customFormat="false" ht="41.75" hidden="false" customHeight="false" outlineLevel="0" collapsed="false">
      <c r="A27" s="2" t="s">
        <v>192</v>
      </c>
      <c r="B27" s="2" t="s">
        <v>192</v>
      </c>
      <c r="C27" s="2" t="s">
        <v>222</v>
      </c>
      <c r="D27" s="2" t="s">
        <v>223</v>
      </c>
      <c r="E27" s="2" t="s">
        <v>224</v>
      </c>
      <c r="F27" s="2" t="s">
        <v>225</v>
      </c>
      <c r="G27" s="6" t="s">
        <v>52</v>
      </c>
      <c r="H27" s="2" t="s">
        <v>226</v>
      </c>
      <c r="I27" s="2" t="s">
        <v>185</v>
      </c>
      <c r="J27" s="2" t="s">
        <v>225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6"/>
    <col collapsed="false" customWidth="true" hidden="false" outlineLevel="0" max="3" min="3" style="0" width="30"/>
    <col collapsed="false" customWidth="true" hidden="false" outlineLevel="0" max="4" min="4" style="0" width="12"/>
    <col collapsed="false" customWidth="true" hidden="false" outlineLevel="0" max="5" min="5" style="0" width="60"/>
    <col collapsed="false" customWidth="true" hidden="false" outlineLevel="0" max="6" min="6" style="0" width="40"/>
    <col collapsed="false" customWidth="true" hidden="false" outlineLevel="0" max="7" min="7" style="0" width="11"/>
    <col collapsed="false" customWidth="true" hidden="false" outlineLevel="0" max="8" min="8" style="0" width="70"/>
    <col collapsed="false" customWidth="true" hidden="false" outlineLevel="0" max="9" min="9" style="0" width="50"/>
  </cols>
  <sheetData>
    <row r="1" customFormat="false" ht="15" hidden="false" customHeight="false" outlineLevel="0" collapsed="false">
      <c r="A1" s="3" t="s">
        <v>227</v>
      </c>
      <c r="B1" s="3" t="s">
        <v>228</v>
      </c>
      <c r="C1" s="3" t="s">
        <v>229</v>
      </c>
      <c r="D1" s="3" t="s">
        <v>230</v>
      </c>
      <c r="E1" s="3" t="s">
        <v>231</v>
      </c>
      <c r="F1" s="3" t="s">
        <v>232</v>
      </c>
      <c r="G1" s="3" t="s">
        <v>11</v>
      </c>
      <c r="H1" s="3" t="s">
        <v>233</v>
      </c>
      <c r="I1" s="3" t="s">
        <v>234</v>
      </c>
    </row>
    <row r="2" customFormat="false" ht="55.2" hidden="false" customHeight="false" outlineLevel="0" collapsed="false">
      <c r="A2" s="2" t="s">
        <v>235</v>
      </c>
      <c r="B2" s="2" t="s">
        <v>236</v>
      </c>
      <c r="C2" s="2" t="s">
        <v>237</v>
      </c>
      <c r="D2" s="2" t="s">
        <v>161</v>
      </c>
      <c r="E2" s="2" t="s">
        <v>238</v>
      </c>
      <c r="F2" s="2" t="s">
        <v>239</v>
      </c>
      <c r="G2" s="5" t="s">
        <v>23</v>
      </c>
      <c r="H2" s="2" t="s">
        <v>240</v>
      </c>
      <c r="I2" s="2" t="s">
        <v>241</v>
      </c>
    </row>
    <row r="3" customFormat="false" ht="28.35" hidden="false" customHeight="false" outlineLevel="0" collapsed="false">
      <c r="A3" s="2" t="s">
        <v>235</v>
      </c>
      <c r="B3" s="2" t="s">
        <v>242</v>
      </c>
      <c r="C3" s="2" t="s">
        <v>243</v>
      </c>
      <c r="D3" s="2" t="s">
        <v>161</v>
      </c>
      <c r="E3" s="2" t="s">
        <v>244</v>
      </c>
      <c r="F3" s="2" t="s">
        <v>245</v>
      </c>
      <c r="G3" s="7" t="s">
        <v>62</v>
      </c>
      <c r="H3" s="2" t="s">
        <v>246</v>
      </c>
      <c r="I3" s="2" t="s">
        <v>247</v>
      </c>
    </row>
    <row r="4" customFormat="false" ht="41.75" hidden="false" customHeight="false" outlineLevel="0" collapsed="false">
      <c r="A4" s="2" t="s">
        <v>235</v>
      </c>
      <c r="B4" s="2" t="s">
        <v>248</v>
      </c>
      <c r="C4" s="2" t="s">
        <v>249</v>
      </c>
      <c r="D4" s="2" t="s">
        <v>161</v>
      </c>
      <c r="E4" s="2" t="s">
        <v>250</v>
      </c>
      <c r="F4" s="2" t="s">
        <v>251</v>
      </c>
      <c r="G4" s="7" t="s">
        <v>62</v>
      </c>
      <c r="H4" s="2" t="s">
        <v>252</v>
      </c>
      <c r="I4" s="2" t="s">
        <v>253</v>
      </c>
    </row>
    <row r="5" customFormat="false" ht="82.05" hidden="false" customHeight="false" outlineLevel="0" collapsed="false">
      <c r="A5" s="2" t="s">
        <v>235</v>
      </c>
      <c r="B5" s="2" t="s">
        <v>254</v>
      </c>
      <c r="C5" s="2" t="s">
        <v>255</v>
      </c>
      <c r="D5" s="2" t="s">
        <v>161</v>
      </c>
      <c r="E5" s="2" t="s">
        <v>256</v>
      </c>
      <c r="F5" s="2" t="s">
        <v>257</v>
      </c>
      <c r="G5" s="7" t="s">
        <v>62</v>
      </c>
      <c r="H5" s="2" t="s">
        <v>258</v>
      </c>
      <c r="I5" s="2" t="s">
        <v>259</v>
      </c>
    </row>
    <row r="6" customFormat="false" ht="55.2" hidden="false" customHeight="false" outlineLevel="0" collapsed="false">
      <c r="A6" s="2" t="s">
        <v>235</v>
      </c>
      <c r="B6" s="2" t="s">
        <v>260</v>
      </c>
      <c r="C6" s="2" t="s">
        <v>261</v>
      </c>
      <c r="D6" s="2" t="s">
        <v>161</v>
      </c>
      <c r="E6" s="2" t="s">
        <v>262</v>
      </c>
      <c r="F6" s="2" t="s">
        <v>263</v>
      </c>
      <c r="G6" s="5" t="s">
        <v>23</v>
      </c>
      <c r="H6" s="2" t="s">
        <v>264</v>
      </c>
      <c r="I6" s="2" t="s">
        <v>265</v>
      </c>
    </row>
    <row r="7" customFormat="false" ht="41.75" hidden="false" customHeight="false" outlineLevel="0" collapsed="false">
      <c r="A7" s="2" t="s">
        <v>235</v>
      </c>
      <c r="B7" s="2" t="s">
        <v>266</v>
      </c>
      <c r="C7" s="2" t="s">
        <v>267</v>
      </c>
      <c r="D7" s="2" t="s">
        <v>161</v>
      </c>
      <c r="E7" s="2" t="s">
        <v>268</v>
      </c>
      <c r="F7" s="2" t="s">
        <v>269</v>
      </c>
      <c r="G7" s="7" t="s">
        <v>62</v>
      </c>
      <c r="H7" s="2" t="s">
        <v>270</v>
      </c>
      <c r="I7" s="2" t="s">
        <v>271</v>
      </c>
    </row>
    <row r="8" customFormat="false" ht="55.2" hidden="false" customHeight="false" outlineLevel="0" collapsed="false">
      <c r="A8" s="2" t="s">
        <v>272</v>
      </c>
      <c r="B8" s="2" t="s">
        <v>273</v>
      </c>
      <c r="C8" s="2" t="s">
        <v>274</v>
      </c>
      <c r="D8" s="2" t="s">
        <v>275</v>
      </c>
      <c r="E8" s="2" t="s">
        <v>276</v>
      </c>
      <c r="F8" s="2" t="s">
        <v>277</v>
      </c>
      <c r="G8" s="5" t="s">
        <v>23</v>
      </c>
      <c r="H8" s="2" t="s">
        <v>278</v>
      </c>
      <c r="I8" s="2" t="s">
        <v>253</v>
      </c>
    </row>
    <row r="9" customFormat="false" ht="28.35" hidden="false" customHeight="false" outlineLevel="0" collapsed="false">
      <c r="A9" s="2" t="s">
        <v>272</v>
      </c>
      <c r="B9" s="2" t="s">
        <v>279</v>
      </c>
      <c r="C9" s="2" t="s">
        <v>280</v>
      </c>
      <c r="D9" s="2" t="s">
        <v>275</v>
      </c>
      <c r="E9" s="2" t="s">
        <v>281</v>
      </c>
      <c r="F9" s="2" t="s">
        <v>282</v>
      </c>
      <c r="G9" s="7" t="s">
        <v>62</v>
      </c>
      <c r="H9" s="2" t="s">
        <v>283</v>
      </c>
      <c r="I9" s="2" t="s">
        <v>253</v>
      </c>
    </row>
    <row r="10" customFormat="false" ht="28.35" hidden="false" customHeight="false" outlineLevel="0" collapsed="false">
      <c r="A10" s="2" t="s">
        <v>272</v>
      </c>
      <c r="B10" s="2" t="s">
        <v>284</v>
      </c>
      <c r="C10" s="2" t="s">
        <v>285</v>
      </c>
      <c r="D10" s="2" t="s">
        <v>275</v>
      </c>
      <c r="E10" s="2" t="s">
        <v>286</v>
      </c>
      <c r="F10" s="2" t="s">
        <v>287</v>
      </c>
      <c r="G10" s="7" t="s">
        <v>62</v>
      </c>
      <c r="H10" s="2" t="s">
        <v>288</v>
      </c>
      <c r="I10" s="2" t="s">
        <v>253</v>
      </c>
    </row>
    <row r="11" customFormat="false" ht="68.65" hidden="false" customHeight="false" outlineLevel="0" collapsed="false">
      <c r="A11" s="2" t="s">
        <v>272</v>
      </c>
      <c r="B11" s="2" t="s">
        <v>289</v>
      </c>
      <c r="C11" s="2" t="s">
        <v>290</v>
      </c>
      <c r="D11" s="2" t="s">
        <v>275</v>
      </c>
      <c r="E11" s="2" t="s">
        <v>291</v>
      </c>
      <c r="F11" s="2" t="s">
        <v>292</v>
      </c>
      <c r="G11" s="7" t="s">
        <v>62</v>
      </c>
      <c r="H11" s="2" t="s">
        <v>293</v>
      </c>
      <c r="I11" s="2" t="s">
        <v>253</v>
      </c>
    </row>
    <row r="12" customFormat="false" ht="68.65" hidden="false" customHeight="false" outlineLevel="0" collapsed="false">
      <c r="A12" s="2" t="s">
        <v>272</v>
      </c>
      <c r="B12" s="2" t="s">
        <v>294</v>
      </c>
      <c r="C12" s="2" t="s">
        <v>295</v>
      </c>
      <c r="D12" s="2" t="s">
        <v>275</v>
      </c>
      <c r="E12" s="2" t="s">
        <v>296</v>
      </c>
      <c r="F12" s="2" t="s">
        <v>297</v>
      </c>
      <c r="G12" s="7" t="s">
        <v>62</v>
      </c>
      <c r="H12" s="2" t="s">
        <v>298</v>
      </c>
      <c r="I12" s="2" t="s">
        <v>253</v>
      </c>
    </row>
    <row r="13" customFormat="false" ht="41.75" hidden="false" customHeight="false" outlineLevel="0" collapsed="false">
      <c r="A13" s="2" t="s">
        <v>272</v>
      </c>
      <c r="B13" s="2" t="s">
        <v>299</v>
      </c>
      <c r="C13" s="2" t="s">
        <v>300</v>
      </c>
      <c r="D13" s="2" t="s">
        <v>275</v>
      </c>
      <c r="E13" s="2" t="s">
        <v>301</v>
      </c>
      <c r="F13" s="2" t="s">
        <v>302</v>
      </c>
      <c r="G13" s="5" t="s">
        <v>23</v>
      </c>
      <c r="H13" s="2" t="s">
        <v>303</v>
      </c>
      <c r="I13" s="2" t="s">
        <v>253</v>
      </c>
    </row>
    <row r="14" customFormat="false" ht="55.2" hidden="false" customHeight="false" outlineLevel="0" collapsed="false">
      <c r="A14" s="2" t="s">
        <v>272</v>
      </c>
      <c r="B14" s="2" t="s">
        <v>304</v>
      </c>
      <c r="C14" s="2" t="s">
        <v>305</v>
      </c>
      <c r="D14" s="2" t="s">
        <v>275</v>
      </c>
      <c r="E14" s="2" t="s">
        <v>306</v>
      </c>
      <c r="F14" s="2" t="s">
        <v>307</v>
      </c>
      <c r="G14" s="7" t="s">
        <v>62</v>
      </c>
      <c r="H14" s="2" t="s">
        <v>308</v>
      </c>
      <c r="I14" s="2" t="s">
        <v>253</v>
      </c>
    </row>
    <row r="15" customFormat="false" ht="55.2" hidden="false" customHeight="false" outlineLevel="0" collapsed="false">
      <c r="A15" s="2" t="s">
        <v>272</v>
      </c>
      <c r="B15" s="2" t="s">
        <v>236</v>
      </c>
      <c r="C15" s="2" t="s">
        <v>237</v>
      </c>
      <c r="D15" s="2" t="s">
        <v>275</v>
      </c>
      <c r="E15" s="2" t="s">
        <v>238</v>
      </c>
      <c r="F15" s="2" t="s">
        <v>309</v>
      </c>
      <c r="G15" s="5" t="s">
        <v>23</v>
      </c>
      <c r="H15" s="2" t="s">
        <v>240</v>
      </c>
      <c r="I15" s="2" t="s">
        <v>241</v>
      </c>
    </row>
    <row r="16" customFormat="false" ht="28.35" hidden="false" customHeight="false" outlineLevel="0" collapsed="false">
      <c r="A16" s="2" t="s">
        <v>272</v>
      </c>
      <c r="B16" s="2" t="s">
        <v>310</v>
      </c>
      <c r="C16" s="2" t="s">
        <v>295</v>
      </c>
      <c r="D16" s="2" t="s">
        <v>275</v>
      </c>
      <c r="E16" s="2" t="s">
        <v>311</v>
      </c>
      <c r="F16" s="2" t="s">
        <v>312</v>
      </c>
      <c r="G16" s="7" t="s">
        <v>62</v>
      </c>
      <c r="H16" s="2" t="s">
        <v>313</v>
      </c>
      <c r="I16" s="2" t="s">
        <v>253</v>
      </c>
    </row>
    <row r="17" customFormat="false" ht="28.35" hidden="false" customHeight="false" outlineLevel="0" collapsed="false">
      <c r="A17" s="2" t="s">
        <v>272</v>
      </c>
      <c r="B17" s="2" t="s">
        <v>314</v>
      </c>
      <c r="C17" s="2" t="s">
        <v>315</v>
      </c>
      <c r="D17" s="2" t="s">
        <v>275</v>
      </c>
      <c r="E17" s="2" t="s">
        <v>316</v>
      </c>
      <c r="F17" s="2" t="s">
        <v>317</v>
      </c>
      <c r="G17" s="7" t="s">
        <v>62</v>
      </c>
      <c r="H17" s="2" t="s">
        <v>318</v>
      </c>
      <c r="I17" s="2" t="s">
        <v>253</v>
      </c>
    </row>
    <row r="18" customFormat="false" ht="68.65" hidden="false" customHeight="false" outlineLevel="0" collapsed="false">
      <c r="A18" s="2" t="s">
        <v>272</v>
      </c>
      <c r="B18" s="2" t="s">
        <v>319</v>
      </c>
      <c r="C18" s="2" t="s">
        <v>320</v>
      </c>
      <c r="D18" s="2" t="s">
        <v>275</v>
      </c>
      <c r="E18" s="2" t="s">
        <v>321</v>
      </c>
      <c r="F18" s="2" t="s">
        <v>322</v>
      </c>
      <c r="G18" s="4" t="s">
        <v>17</v>
      </c>
      <c r="H18" s="2" t="s">
        <v>323</v>
      </c>
      <c r="I18" s="2" t="s">
        <v>253</v>
      </c>
    </row>
    <row r="19" customFormat="false" ht="28.35" hidden="false" customHeight="false" outlineLevel="0" collapsed="false">
      <c r="A19" s="2" t="s">
        <v>272</v>
      </c>
      <c r="B19" s="2" t="s">
        <v>242</v>
      </c>
      <c r="C19" s="2" t="s">
        <v>243</v>
      </c>
      <c r="D19" s="2" t="s">
        <v>275</v>
      </c>
      <c r="E19" s="2" t="s">
        <v>244</v>
      </c>
      <c r="F19" s="2" t="s">
        <v>245</v>
      </c>
      <c r="G19" s="7" t="s">
        <v>62</v>
      </c>
      <c r="H19" s="2" t="s">
        <v>246</v>
      </c>
      <c r="I19" s="2" t="s">
        <v>247</v>
      </c>
    </row>
    <row r="20" customFormat="false" ht="28.35" hidden="false" customHeight="false" outlineLevel="0" collapsed="false">
      <c r="A20" s="2" t="s">
        <v>272</v>
      </c>
      <c r="B20" s="2" t="s">
        <v>248</v>
      </c>
      <c r="C20" s="2" t="s">
        <v>249</v>
      </c>
      <c r="D20" s="2" t="s">
        <v>275</v>
      </c>
      <c r="E20" s="2" t="s">
        <v>250</v>
      </c>
      <c r="F20" s="2" t="s">
        <v>324</v>
      </c>
      <c r="G20" s="7" t="s">
        <v>62</v>
      </c>
      <c r="H20" s="2" t="s">
        <v>252</v>
      </c>
      <c r="I20" s="2" t="s">
        <v>253</v>
      </c>
    </row>
    <row r="21" customFormat="false" ht="28.35" hidden="false" customHeight="false" outlineLevel="0" collapsed="false">
      <c r="A21" s="2" t="s">
        <v>272</v>
      </c>
      <c r="B21" s="2" t="s">
        <v>325</v>
      </c>
      <c r="C21" s="2" t="s">
        <v>326</v>
      </c>
      <c r="D21" s="2" t="s">
        <v>275</v>
      </c>
      <c r="E21" s="2" t="s">
        <v>327</v>
      </c>
      <c r="F21" s="2" t="s">
        <v>328</v>
      </c>
      <c r="G21" s="7" t="s">
        <v>62</v>
      </c>
      <c r="H21" s="2" t="s">
        <v>329</v>
      </c>
      <c r="I21" s="2" t="s">
        <v>253</v>
      </c>
    </row>
    <row r="22" customFormat="false" ht="41.75" hidden="false" customHeight="false" outlineLevel="0" collapsed="false">
      <c r="A22" s="2" t="s">
        <v>272</v>
      </c>
      <c r="B22" s="2" t="s">
        <v>330</v>
      </c>
      <c r="C22" s="2" t="s">
        <v>331</v>
      </c>
      <c r="D22" s="2" t="s">
        <v>275</v>
      </c>
      <c r="E22" s="2" t="s">
        <v>332</v>
      </c>
      <c r="F22" s="2" t="s">
        <v>333</v>
      </c>
      <c r="G22" s="7" t="s">
        <v>62</v>
      </c>
      <c r="H22" s="2" t="s">
        <v>334</v>
      </c>
      <c r="I22" s="2" t="s">
        <v>253</v>
      </c>
    </row>
    <row r="23" customFormat="false" ht="28.35" hidden="false" customHeight="false" outlineLevel="0" collapsed="false">
      <c r="A23" s="2" t="s">
        <v>272</v>
      </c>
      <c r="B23" s="2" t="s">
        <v>335</v>
      </c>
      <c r="C23" s="2" t="s">
        <v>336</v>
      </c>
      <c r="D23" s="2" t="s">
        <v>172</v>
      </c>
      <c r="E23" s="2" t="s">
        <v>337</v>
      </c>
      <c r="F23" s="2" t="s">
        <v>338</v>
      </c>
      <c r="G23" s="7" t="s">
        <v>62</v>
      </c>
      <c r="H23" s="2" t="s">
        <v>339</v>
      </c>
      <c r="I23" s="2" t="s">
        <v>340</v>
      </c>
    </row>
    <row r="24" customFormat="false" ht="28.35" hidden="false" customHeight="false" outlineLevel="0" collapsed="false">
      <c r="A24" s="2" t="s">
        <v>272</v>
      </c>
      <c r="B24" s="2" t="s">
        <v>341</v>
      </c>
      <c r="C24" s="2" t="s">
        <v>342</v>
      </c>
      <c r="D24" s="2" t="s">
        <v>172</v>
      </c>
      <c r="E24" s="2" t="s">
        <v>343</v>
      </c>
      <c r="F24" s="2" t="s">
        <v>344</v>
      </c>
      <c r="G24" s="7" t="s">
        <v>62</v>
      </c>
      <c r="H24" s="2" t="s">
        <v>345</v>
      </c>
      <c r="I24" s="2" t="s">
        <v>346</v>
      </c>
    </row>
    <row r="25" customFormat="false" ht="55.2" hidden="false" customHeight="false" outlineLevel="0" collapsed="false">
      <c r="A25" s="2" t="s">
        <v>272</v>
      </c>
      <c r="B25" s="2" t="s">
        <v>347</v>
      </c>
      <c r="C25" s="2" t="s">
        <v>348</v>
      </c>
      <c r="D25" s="2" t="s">
        <v>172</v>
      </c>
      <c r="E25" s="2" t="s">
        <v>349</v>
      </c>
      <c r="F25" s="2" t="s">
        <v>350</v>
      </c>
      <c r="G25" s="7" t="s">
        <v>62</v>
      </c>
      <c r="H25" s="2" t="s">
        <v>351</v>
      </c>
      <c r="I25" s="2" t="s">
        <v>352</v>
      </c>
    </row>
    <row r="26" customFormat="false" ht="41.75" hidden="false" customHeight="false" outlineLevel="0" collapsed="false">
      <c r="A26" s="2" t="s">
        <v>272</v>
      </c>
      <c r="B26" s="2" t="s">
        <v>353</v>
      </c>
      <c r="C26" s="2" t="s">
        <v>354</v>
      </c>
      <c r="D26" s="2" t="s">
        <v>172</v>
      </c>
      <c r="E26" s="2" t="s">
        <v>355</v>
      </c>
      <c r="F26" s="2" t="s">
        <v>356</v>
      </c>
      <c r="G26" s="7" t="s">
        <v>62</v>
      </c>
      <c r="H26" s="2" t="s">
        <v>357</v>
      </c>
      <c r="I26" s="2" t="s">
        <v>358</v>
      </c>
    </row>
    <row r="27" customFormat="false" ht="82.05" hidden="false" customHeight="false" outlineLevel="0" collapsed="false">
      <c r="A27" s="2" t="s">
        <v>272</v>
      </c>
      <c r="B27" s="2" t="s">
        <v>254</v>
      </c>
      <c r="C27" s="2" t="s">
        <v>255</v>
      </c>
      <c r="D27" s="2" t="s">
        <v>275</v>
      </c>
      <c r="E27" s="2" t="s">
        <v>256</v>
      </c>
      <c r="F27" s="2" t="s">
        <v>257</v>
      </c>
      <c r="G27" s="7" t="s">
        <v>62</v>
      </c>
      <c r="H27" s="2" t="s">
        <v>258</v>
      </c>
      <c r="I27" s="2" t="s">
        <v>259</v>
      </c>
    </row>
    <row r="28" customFormat="false" ht="41.75" hidden="false" customHeight="false" outlineLevel="0" collapsed="false">
      <c r="A28" s="2" t="s">
        <v>272</v>
      </c>
      <c r="B28" s="2" t="s">
        <v>359</v>
      </c>
      <c r="C28" s="2" t="s">
        <v>360</v>
      </c>
      <c r="D28" s="2" t="s">
        <v>275</v>
      </c>
      <c r="E28" s="2" t="s">
        <v>361</v>
      </c>
      <c r="F28" s="2" t="s">
        <v>362</v>
      </c>
      <c r="G28" s="7" t="s">
        <v>62</v>
      </c>
      <c r="H28" s="2" t="s">
        <v>363</v>
      </c>
      <c r="I28" s="2" t="s">
        <v>271</v>
      </c>
    </row>
    <row r="29" customFormat="false" ht="41.75" hidden="false" customHeight="false" outlineLevel="0" collapsed="false">
      <c r="A29" s="2" t="s">
        <v>272</v>
      </c>
      <c r="B29" s="2" t="s">
        <v>266</v>
      </c>
      <c r="C29" s="2" t="s">
        <v>267</v>
      </c>
      <c r="D29" s="2" t="s">
        <v>275</v>
      </c>
      <c r="E29" s="2" t="s">
        <v>268</v>
      </c>
      <c r="F29" s="2" t="s">
        <v>269</v>
      </c>
      <c r="G29" s="7" t="s">
        <v>62</v>
      </c>
      <c r="H29" s="2" t="s">
        <v>270</v>
      </c>
      <c r="I29" s="2" t="s">
        <v>271</v>
      </c>
    </row>
    <row r="30" customFormat="false" ht="41.75" hidden="false" customHeight="false" outlineLevel="0" collapsed="false">
      <c r="A30" s="2" t="s">
        <v>272</v>
      </c>
      <c r="B30" s="2" t="s">
        <v>364</v>
      </c>
      <c r="C30" s="2" t="s">
        <v>365</v>
      </c>
      <c r="D30" s="2" t="s">
        <v>172</v>
      </c>
      <c r="E30" s="2"/>
      <c r="F30" s="2" t="s">
        <v>366</v>
      </c>
      <c r="G30" s="5" t="s">
        <v>23</v>
      </c>
      <c r="H30" s="2" t="s">
        <v>367</v>
      </c>
      <c r="I30" s="2" t="s">
        <v>368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8"/>
    <col collapsed="false" customWidth="true" hidden="false" outlineLevel="0" max="3" min="3" style="0" width="14"/>
    <col collapsed="false" customWidth="true" hidden="false" outlineLevel="0" max="4" min="4" style="0" width="10"/>
    <col collapsed="false" customWidth="true" hidden="false" outlineLevel="0" max="5" min="5" style="0" width="60"/>
  </cols>
  <sheetData>
    <row r="1" customFormat="false" ht="28.35" hidden="false" customHeight="false" outlineLevel="0" collapsed="false">
      <c r="A1" s="3" t="s">
        <v>369</v>
      </c>
      <c r="B1" s="3" t="s">
        <v>370</v>
      </c>
      <c r="C1" s="3" t="s">
        <v>371</v>
      </c>
      <c r="D1" s="3" t="s">
        <v>372</v>
      </c>
      <c r="E1" s="3" t="s">
        <v>373</v>
      </c>
    </row>
    <row r="2" customFormat="false" ht="15" hidden="false" customHeight="false" outlineLevel="0" collapsed="false">
      <c r="A2" s="2" t="s">
        <v>374</v>
      </c>
      <c r="B2" s="2" t="n">
        <v>113</v>
      </c>
      <c r="C2" s="2" t="n">
        <v>310</v>
      </c>
      <c r="D2" s="2" t="n">
        <v>0</v>
      </c>
      <c r="E2" s="2" t="s">
        <v>375</v>
      </c>
    </row>
    <row r="3" customFormat="false" ht="15" hidden="false" customHeight="false" outlineLevel="0" collapsed="false">
      <c r="A3" s="2" t="s">
        <v>376</v>
      </c>
      <c r="B3" s="2" t="n">
        <v>61</v>
      </c>
      <c r="C3" s="2" t="n">
        <v>300</v>
      </c>
      <c r="D3" s="2" t="n">
        <v>0</v>
      </c>
      <c r="E3" s="2" t="s">
        <v>375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2026-10-21T20:38:01Z</dcterms:created>
  <dc:creator>openpyxl</dc:creator>
  <dc:description/>
  <dc:language>en-US</dc:language>
  <cp:lastModifiedBy/>
  <dcterms:modified xsi:type="dcterms:W3CDTF">2026-10-21T20:38:01Z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